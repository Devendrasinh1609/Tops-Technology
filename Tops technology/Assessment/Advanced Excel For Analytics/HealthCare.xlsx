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ops technology\Assessment\Advanced Excel For Analytics\"/>
    </mc:Choice>
  </mc:AlternateContent>
  <xr:revisionPtr revIDLastSave="0" documentId="13_ncr:1_{B7FF15C3-37F9-48D4-B202-84B073FE6D3F}" xr6:coauthVersionLast="47" xr6:coauthVersionMax="47" xr10:uidLastSave="{00000000-0000-0000-0000-000000000000}"/>
  <bookViews>
    <workbookView xWindow="-108" yWindow="-108" windowWidth="23256" windowHeight="12456" activeTab="2" xr2:uid="{0B73A451-E903-4805-8878-125F4B22E66F}"/>
  </bookViews>
  <sheets>
    <sheet name="Table1 (2)" sheetId="4" r:id="rId1"/>
    <sheet name="HealthCare" sheetId="1" r:id="rId2"/>
    <sheet name="Sheet1" sheetId="2" r:id="rId3"/>
  </sheets>
  <definedNames>
    <definedName name="_xlcn.WorksheetConnection_HealthCare.xlsxTable1" hidden="1">Table1[]</definedName>
    <definedName name="ExternalData_1" localSheetId="0" hidden="1">'Table1 (2)'!$A$1:$D$7</definedName>
  </definedName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HealthCar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2" i="1"/>
  <c r="E145" i="2"/>
  <c r="E146" i="2"/>
  <c r="E147" i="2"/>
  <c r="E148" i="2"/>
  <c r="E149" i="2"/>
  <c r="E144" i="2"/>
  <c r="E130" i="2" a="1"/>
  <c r="E130" i="2" s="1"/>
  <c r="Z2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Z13" i="1"/>
  <c r="Z10" i="1"/>
  <c r="Z7" i="1"/>
  <c r="Z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B8EB80-0ABF-4E57-BA49-6DCDA89511B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69FB311-D8F8-4788-8355-EFED59E6C7C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48739085-120F-4A1C-98D5-4A3A76F053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4CE4C05-53A7-434D-94A5-EEC4CCE27B2C}" name="WorksheetConnection_HealthCare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ealthCare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<sst xmlns="http://schemas.openxmlformats.org/spreadsheetml/2006/main" count="11164" uniqueCount="1121">
  <si>
    <t>Patient ID</t>
  </si>
  <si>
    <t>Age</t>
  </si>
  <si>
    <t>Department</t>
  </si>
  <si>
    <t>Admission Date</t>
  </si>
  <si>
    <t>Discharge Date</t>
  </si>
  <si>
    <t>Stay Duration (days)</t>
  </si>
  <si>
    <t>Disease/Condition</t>
  </si>
  <si>
    <t>Satisfaction Score</t>
  </si>
  <si>
    <t>Doctor</t>
  </si>
  <si>
    <t>Treatment Cost</t>
  </si>
  <si>
    <t>Medication</t>
  </si>
  <si>
    <t>Has Insurance</t>
  </si>
  <si>
    <t>Case Type</t>
  </si>
  <si>
    <t>Appointment Date</t>
  </si>
  <si>
    <t>Consultation Date</t>
  </si>
  <si>
    <t>Test Type</t>
  </si>
  <si>
    <t>Test Result</t>
  </si>
  <si>
    <t>Shift</t>
  </si>
  <si>
    <t>Staff Hours Worked</t>
  </si>
  <si>
    <t>Staff Available Hours</t>
  </si>
  <si>
    <t>Treatment Plan</t>
  </si>
  <si>
    <t>PAT5000</t>
  </si>
  <si>
    <t>Neurology</t>
  </si>
  <si>
    <t>Heart Disease</t>
  </si>
  <si>
    <t>Dr. Mehta</t>
  </si>
  <si>
    <t>MedC</t>
  </si>
  <si>
    <t>No</t>
  </si>
  <si>
    <t>Routine</t>
  </si>
  <si>
    <t>X-Ray</t>
  </si>
  <si>
    <t>Accepted</t>
  </si>
  <si>
    <t>Afternoon</t>
  </si>
  <si>
    <t>Plan B</t>
  </si>
  <si>
    <t>PAT5001</t>
  </si>
  <si>
    <t>ICU</t>
  </si>
  <si>
    <t>Fracture</t>
  </si>
  <si>
    <t>Dr. Sharma</t>
  </si>
  <si>
    <t>MedE</t>
  </si>
  <si>
    <t>Blood Test</t>
  </si>
  <si>
    <t>Rejected</t>
  </si>
  <si>
    <t>PAT5002</t>
  </si>
  <si>
    <t>Hypertension</t>
  </si>
  <si>
    <t>Emergency</t>
  </si>
  <si>
    <t>CT Scan</t>
  </si>
  <si>
    <t>Morning</t>
  </si>
  <si>
    <t>PAT5003</t>
  </si>
  <si>
    <t>General Medicine</t>
  </si>
  <si>
    <t>Dr. Gupta</t>
  </si>
  <si>
    <t>Night</t>
  </si>
  <si>
    <t>Plan C</t>
  </si>
  <si>
    <t>PAT5004</t>
  </si>
  <si>
    <t>Diabetes</t>
  </si>
  <si>
    <t>PAT5005</t>
  </si>
  <si>
    <t>Cardiology</t>
  </si>
  <si>
    <t>MedA</t>
  </si>
  <si>
    <t>Yes</t>
  </si>
  <si>
    <t>Ultrasound</t>
  </si>
  <si>
    <t>PAT5006</t>
  </si>
  <si>
    <t>Flu</t>
  </si>
  <si>
    <t>PAT5007</t>
  </si>
  <si>
    <t>PAT5008</t>
  </si>
  <si>
    <t>MedD</t>
  </si>
  <si>
    <t>PAT5009</t>
  </si>
  <si>
    <t>Orthopedics</t>
  </si>
  <si>
    <t>Migraine</t>
  </si>
  <si>
    <t>MRI</t>
  </si>
  <si>
    <t>PAT5010</t>
  </si>
  <si>
    <t>Dr. Rao</t>
  </si>
  <si>
    <t>MedB</t>
  </si>
  <si>
    <t>Plan A</t>
  </si>
  <si>
    <t>PAT5011</t>
  </si>
  <si>
    <t>PAT5012</t>
  </si>
  <si>
    <t>Dr. Patel</t>
  </si>
  <si>
    <t>PAT5013</t>
  </si>
  <si>
    <t>PAT5014</t>
  </si>
  <si>
    <t>PAT5015</t>
  </si>
  <si>
    <t>PAT5016</t>
  </si>
  <si>
    <t>PAT5017</t>
  </si>
  <si>
    <t>PAT5018</t>
  </si>
  <si>
    <t>PAT5019</t>
  </si>
  <si>
    <t>PAT5020</t>
  </si>
  <si>
    <t>PAT5021</t>
  </si>
  <si>
    <t>PAT5022</t>
  </si>
  <si>
    <t>PAT5023</t>
  </si>
  <si>
    <t>PAT5024</t>
  </si>
  <si>
    <t>PAT5025</t>
  </si>
  <si>
    <t>PAT5026</t>
  </si>
  <si>
    <t>PAT5027</t>
  </si>
  <si>
    <t>PAT5028</t>
  </si>
  <si>
    <t>PAT5029</t>
  </si>
  <si>
    <t>PAT5030</t>
  </si>
  <si>
    <t>PAT5031</t>
  </si>
  <si>
    <t>PAT5032</t>
  </si>
  <si>
    <t>PAT5033</t>
  </si>
  <si>
    <t>PAT5034</t>
  </si>
  <si>
    <t>PAT5035</t>
  </si>
  <si>
    <t>PAT5036</t>
  </si>
  <si>
    <t>PAT5037</t>
  </si>
  <si>
    <t>PAT5038</t>
  </si>
  <si>
    <t>PAT5039</t>
  </si>
  <si>
    <t>PAT5040</t>
  </si>
  <si>
    <t>PAT5041</t>
  </si>
  <si>
    <t>PAT5042</t>
  </si>
  <si>
    <t>PAT5043</t>
  </si>
  <si>
    <t>PAT5044</t>
  </si>
  <si>
    <t>PAT5045</t>
  </si>
  <si>
    <t>PAT5046</t>
  </si>
  <si>
    <t>PAT5047</t>
  </si>
  <si>
    <t>PAT5048</t>
  </si>
  <si>
    <t>PAT5049</t>
  </si>
  <si>
    <t>PAT5050</t>
  </si>
  <si>
    <t>PAT5051</t>
  </si>
  <si>
    <t>PAT5052</t>
  </si>
  <si>
    <t>PAT5053</t>
  </si>
  <si>
    <t>PAT5054</t>
  </si>
  <si>
    <t>PAT5055</t>
  </si>
  <si>
    <t>PAT5056</t>
  </si>
  <si>
    <t>PAT5057</t>
  </si>
  <si>
    <t>PAT5058</t>
  </si>
  <si>
    <t>PAT5059</t>
  </si>
  <si>
    <t>PAT5060</t>
  </si>
  <si>
    <t>PAT5061</t>
  </si>
  <si>
    <t>PAT5062</t>
  </si>
  <si>
    <t>PAT5063</t>
  </si>
  <si>
    <t>PAT5064</t>
  </si>
  <si>
    <t>PAT5065</t>
  </si>
  <si>
    <t>PAT5066</t>
  </si>
  <si>
    <t>PAT5067</t>
  </si>
  <si>
    <t>PAT5068</t>
  </si>
  <si>
    <t>PAT5069</t>
  </si>
  <si>
    <t>PAT5070</t>
  </si>
  <si>
    <t>PAT5071</t>
  </si>
  <si>
    <t>PAT5072</t>
  </si>
  <si>
    <t>PAT5073</t>
  </si>
  <si>
    <t>PAT5074</t>
  </si>
  <si>
    <t>PAT5075</t>
  </si>
  <si>
    <t>PAT5076</t>
  </si>
  <si>
    <t>PAT5077</t>
  </si>
  <si>
    <t>PAT5078</t>
  </si>
  <si>
    <t>PAT5079</t>
  </si>
  <si>
    <t>PAT5080</t>
  </si>
  <si>
    <t>PAT5081</t>
  </si>
  <si>
    <t>PAT5082</t>
  </si>
  <si>
    <t>PAT5083</t>
  </si>
  <si>
    <t>PAT5084</t>
  </si>
  <si>
    <t>PAT5085</t>
  </si>
  <si>
    <t>PAT5086</t>
  </si>
  <si>
    <t>PAT5087</t>
  </si>
  <si>
    <t>PAT5088</t>
  </si>
  <si>
    <t>PAT5089</t>
  </si>
  <si>
    <t>PAT5090</t>
  </si>
  <si>
    <t>PAT5091</t>
  </si>
  <si>
    <t>PAT5092</t>
  </si>
  <si>
    <t>PAT5093</t>
  </si>
  <si>
    <t>PAT5094</t>
  </si>
  <si>
    <t>PAT5095</t>
  </si>
  <si>
    <t>PAT5096</t>
  </si>
  <si>
    <t>PAT5097</t>
  </si>
  <si>
    <t>PAT5098</t>
  </si>
  <si>
    <t>PAT5099</t>
  </si>
  <si>
    <t>PAT5100</t>
  </si>
  <si>
    <t>PAT5101</t>
  </si>
  <si>
    <t>PAT5102</t>
  </si>
  <si>
    <t>PAT5103</t>
  </si>
  <si>
    <t>PAT5104</t>
  </si>
  <si>
    <t>PAT5105</t>
  </si>
  <si>
    <t>PAT5106</t>
  </si>
  <si>
    <t>PAT5107</t>
  </si>
  <si>
    <t>PAT5108</t>
  </si>
  <si>
    <t>PAT5109</t>
  </si>
  <si>
    <t>PAT5110</t>
  </si>
  <si>
    <t>PAT5111</t>
  </si>
  <si>
    <t>PAT5112</t>
  </si>
  <si>
    <t>PAT5113</t>
  </si>
  <si>
    <t>PAT5114</t>
  </si>
  <si>
    <t>PAT5115</t>
  </si>
  <si>
    <t>PAT5116</t>
  </si>
  <si>
    <t>PAT5117</t>
  </si>
  <si>
    <t>PAT5118</t>
  </si>
  <si>
    <t>PAT5119</t>
  </si>
  <si>
    <t>PAT5120</t>
  </si>
  <si>
    <t>PAT5121</t>
  </si>
  <si>
    <t>PAT5122</t>
  </si>
  <si>
    <t>PAT5123</t>
  </si>
  <si>
    <t>PAT5124</t>
  </si>
  <si>
    <t>PAT5125</t>
  </si>
  <si>
    <t>PAT5126</t>
  </si>
  <si>
    <t>PAT5127</t>
  </si>
  <si>
    <t>PAT5128</t>
  </si>
  <si>
    <t>PAT5129</t>
  </si>
  <si>
    <t>PAT5130</t>
  </si>
  <si>
    <t>PAT5131</t>
  </si>
  <si>
    <t>PAT5132</t>
  </si>
  <si>
    <t>PAT5133</t>
  </si>
  <si>
    <t>PAT5134</t>
  </si>
  <si>
    <t>PAT5135</t>
  </si>
  <si>
    <t>PAT5136</t>
  </si>
  <si>
    <t>PAT5137</t>
  </si>
  <si>
    <t>PAT5138</t>
  </si>
  <si>
    <t>PAT5139</t>
  </si>
  <si>
    <t>PAT5140</t>
  </si>
  <si>
    <t>PAT5141</t>
  </si>
  <si>
    <t>PAT5142</t>
  </si>
  <si>
    <t>PAT5143</t>
  </si>
  <si>
    <t>PAT5144</t>
  </si>
  <si>
    <t>PAT5145</t>
  </si>
  <si>
    <t>PAT5146</t>
  </si>
  <si>
    <t>PAT5147</t>
  </si>
  <si>
    <t>PAT5148</t>
  </si>
  <si>
    <t>PAT5149</t>
  </si>
  <si>
    <t>PAT5150</t>
  </si>
  <si>
    <t>PAT5151</t>
  </si>
  <si>
    <t>PAT5152</t>
  </si>
  <si>
    <t>PAT5153</t>
  </si>
  <si>
    <t>PAT5154</t>
  </si>
  <si>
    <t>PAT5155</t>
  </si>
  <si>
    <t>PAT5156</t>
  </si>
  <si>
    <t>PAT5157</t>
  </si>
  <si>
    <t>PAT5158</t>
  </si>
  <si>
    <t>PAT5159</t>
  </si>
  <si>
    <t>PAT5160</t>
  </si>
  <si>
    <t>PAT5161</t>
  </si>
  <si>
    <t>PAT5162</t>
  </si>
  <si>
    <t>PAT5163</t>
  </si>
  <si>
    <t>PAT5164</t>
  </si>
  <si>
    <t>PAT5165</t>
  </si>
  <si>
    <t>PAT5166</t>
  </si>
  <si>
    <t>PAT5167</t>
  </si>
  <si>
    <t>PAT5168</t>
  </si>
  <si>
    <t>PAT5169</t>
  </si>
  <si>
    <t>PAT5170</t>
  </si>
  <si>
    <t>PAT5171</t>
  </si>
  <si>
    <t>PAT5172</t>
  </si>
  <si>
    <t>PAT5173</t>
  </si>
  <si>
    <t>PAT5174</t>
  </si>
  <si>
    <t>PAT5175</t>
  </si>
  <si>
    <t>PAT5176</t>
  </si>
  <si>
    <t>PAT5177</t>
  </si>
  <si>
    <t>PAT5178</t>
  </si>
  <si>
    <t>PAT5179</t>
  </si>
  <si>
    <t>PAT5180</t>
  </si>
  <si>
    <t>PAT5181</t>
  </si>
  <si>
    <t>PAT5182</t>
  </si>
  <si>
    <t>PAT5183</t>
  </si>
  <si>
    <t>PAT5184</t>
  </si>
  <si>
    <t>PAT5185</t>
  </si>
  <si>
    <t>PAT5186</t>
  </si>
  <si>
    <t>PAT5187</t>
  </si>
  <si>
    <t>PAT5188</t>
  </si>
  <si>
    <t>PAT5189</t>
  </si>
  <si>
    <t>PAT5190</t>
  </si>
  <si>
    <t>PAT5191</t>
  </si>
  <si>
    <t>PAT5192</t>
  </si>
  <si>
    <t>PAT5193</t>
  </si>
  <si>
    <t>PAT5194</t>
  </si>
  <si>
    <t>PAT5195</t>
  </si>
  <si>
    <t>PAT5196</t>
  </si>
  <si>
    <t>PAT5197</t>
  </si>
  <si>
    <t>PAT5198</t>
  </si>
  <si>
    <t>PAT5199</t>
  </si>
  <si>
    <t>PAT5200</t>
  </si>
  <si>
    <t>PAT5201</t>
  </si>
  <si>
    <t>PAT5202</t>
  </si>
  <si>
    <t>PAT5203</t>
  </si>
  <si>
    <t>PAT5204</t>
  </si>
  <si>
    <t>PAT5205</t>
  </si>
  <si>
    <t>PAT5206</t>
  </si>
  <si>
    <t>PAT5207</t>
  </si>
  <si>
    <t>PAT5208</t>
  </si>
  <si>
    <t>PAT5209</t>
  </si>
  <si>
    <t>PAT5210</t>
  </si>
  <si>
    <t>PAT5211</t>
  </si>
  <si>
    <t>PAT5212</t>
  </si>
  <si>
    <t>PAT5213</t>
  </si>
  <si>
    <t>PAT5214</t>
  </si>
  <si>
    <t>PAT5215</t>
  </si>
  <si>
    <t>PAT5216</t>
  </si>
  <si>
    <t>PAT5217</t>
  </si>
  <si>
    <t>PAT5218</t>
  </si>
  <si>
    <t>PAT5219</t>
  </si>
  <si>
    <t>PAT5220</t>
  </si>
  <si>
    <t>PAT5221</t>
  </si>
  <si>
    <t>PAT5222</t>
  </si>
  <si>
    <t>PAT5223</t>
  </si>
  <si>
    <t>PAT5224</t>
  </si>
  <si>
    <t>PAT5225</t>
  </si>
  <si>
    <t>PAT5226</t>
  </si>
  <si>
    <t>PAT5227</t>
  </si>
  <si>
    <t>PAT5228</t>
  </si>
  <si>
    <t>PAT5229</t>
  </si>
  <si>
    <t>PAT5230</t>
  </si>
  <si>
    <t>PAT5231</t>
  </si>
  <si>
    <t>PAT5232</t>
  </si>
  <si>
    <t>PAT5233</t>
  </si>
  <si>
    <t>PAT5234</t>
  </si>
  <si>
    <t>PAT5235</t>
  </si>
  <si>
    <t>PAT5236</t>
  </si>
  <si>
    <t>PAT5237</t>
  </si>
  <si>
    <t>PAT5238</t>
  </si>
  <si>
    <t>PAT5239</t>
  </si>
  <si>
    <t>PAT5240</t>
  </si>
  <si>
    <t>PAT5241</t>
  </si>
  <si>
    <t>PAT5242</t>
  </si>
  <si>
    <t>PAT5243</t>
  </si>
  <si>
    <t>PAT5244</t>
  </si>
  <si>
    <t>PAT5245</t>
  </si>
  <si>
    <t>PAT5246</t>
  </si>
  <si>
    <t>PAT5247</t>
  </si>
  <si>
    <t>PAT5248</t>
  </si>
  <si>
    <t>PAT5249</t>
  </si>
  <si>
    <t>PAT5250</t>
  </si>
  <si>
    <t>PAT5251</t>
  </si>
  <si>
    <t>PAT5252</t>
  </si>
  <si>
    <t>PAT5253</t>
  </si>
  <si>
    <t>PAT5254</t>
  </si>
  <si>
    <t>PAT5255</t>
  </si>
  <si>
    <t>PAT5256</t>
  </si>
  <si>
    <t>PAT5257</t>
  </si>
  <si>
    <t>PAT5258</t>
  </si>
  <si>
    <t>PAT5259</t>
  </si>
  <si>
    <t>PAT5260</t>
  </si>
  <si>
    <t>PAT5261</t>
  </si>
  <si>
    <t>PAT5262</t>
  </si>
  <si>
    <t>PAT5263</t>
  </si>
  <si>
    <t>PAT5264</t>
  </si>
  <si>
    <t>PAT5265</t>
  </si>
  <si>
    <t>PAT5266</t>
  </si>
  <si>
    <t>PAT5267</t>
  </si>
  <si>
    <t>PAT5268</t>
  </si>
  <si>
    <t>PAT5269</t>
  </si>
  <si>
    <t>PAT5270</t>
  </si>
  <si>
    <t>PAT5271</t>
  </si>
  <si>
    <t>PAT5272</t>
  </si>
  <si>
    <t>PAT5273</t>
  </si>
  <si>
    <t>PAT5274</t>
  </si>
  <si>
    <t>PAT5275</t>
  </si>
  <si>
    <t>PAT5276</t>
  </si>
  <si>
    <t>PAT5277</t>
  </si>
  <si>
    <t>PAT5278</t>
  </si>
  <si>
    <t>PAT5279</t>
  </si>
  <si>
    <t>PAT5280</t>
  </si>
  <si>
    <t>PAT5281</t>
  </si>
  <si>
    <t>PAT5282</t>
  </si>
  <si>
    <t>PAT5283</t>
  </si>
  <si>
    <t>PAT5284</t>
  </si>
  <si>
    <t>PAT5285</t>
  </si>
  <si>
    <t>PAT5286</t>
  </si>
  <si>
    <t>PAT5287</t>
  </si>
  <si>
    <t>PAT5288</t>
  </si>
  <si>
    <t>PAT5289</t>
  </si>
  <si>
    <t>PAT5290</t>
  </si>
  <si>
    <t>PAT5291</t>
  </si>
  <si>
    <t>PAT5292</t>
  </si>
  <si>
    <t>PAT5293</t>
  </si>
  <si>
    <t>PAT5294</t>
  </si>
  <si>
    <t>PAT5295</t>
  </si>
  <si>
    <t>PAT5296</t>
  </si>
  <si>
    <t>PAT5297</t>
  </si>
  <si>
    <t>PAT5298</t>
  </si>
  <si>
    <t>PAT5299</t>
  </si>
  <si>
    <t>PAT5300</t>
  </si>
  <si>
    <t>PAT5301</t>
  </si>
  <si>
    <t>PAT5302</t>
  </si>
  <si>
    <t>PAT5303</t>
  </si>
  <si>
    <t>PAT5304</t>
  </si>
  <si>
    <t>PAT5305</t>
  </si>
  <si>
    <t>PAT5306</t>
  </si>
  <si>
    <t>PAT5307</t>
  </si>
  <si>
    <t>PAT5308</t>
  </si>
  <si>
    <t>PAT5309</t>
  </si>
  <si>
    <t>PAT5310</t>
  </si>
  <si>
    <t>PAT5311</t>
  </si>
  <si>
    <t>PAT5312</t>
  </si>
  <si>
    <t>PAT5313</t>
  </si>
  <si>
    <t>PAT5314</t>
  </si>
  <si>
    <t>PAT5315</t>
  </si>
  <si>
    <t>PAT5316</t>
  </si>
  <si>
    <t>PAT5317</t>
  </si>
  <si>
    <t>PAT5318</t>
  </si>
  <si>
    <t>PAT5319</t>
  </si>
  <si>
    <t>PAT5320</t>
  </si>
  <si>
    <t>PAT5321</t>
  </si>
  <si>
    <t>PAT5322</t>
  </si>
  <si>
    <t>PAT5323</t>
  </si>
  <si>
    <t>PAT5324</t>
  </si>
  <si>
    <t>PAT5325</t>
  </si>
  <si>
    <t>PAT5326</t>
  </si>
  <si>
    <t>PAT5327</t>
  </si>
  <si>
    <t>PAT5328</t>
  </si>
  <si>
    <t>PAT5329</t>
  </si>
  <si>
    <t>PAT5330</t>
  </si>
  <si>
    <t>PAT5331</t>
  </si>
  <si>
    <t>PAT5332</t>
  </si>
  <si>
    <t>PAT5333</t>
  </si>
  <si>
    <t>PAT5334</t>
  </si>
  <si>
    <t>PAT5335</t>
  </si>
  <si>
    <t>PAT5336</t>
  </si>
  <si>
    <t>PAT5337</t>
  </si>
  <si>
    <t>PAT5338</t>
  </si>
  <si>
    <t>PAT5339</t>
  </si>
  <si>
    <t>PAT5340</t>
  </si>
  <si>
    <t>PAT5341</t>
  </si>
  <si>
    <t>PAT5342</t>
  </si>
  <si>
    <t>PAT5343</t>
  </si>
  <si>
    <t>PAT5344</t>
  </si>
  <si>
    <t>PAT5345</t>
  </si>
  <si>
    <t>PAT5346</t>
  </si>
  <si>
    <t>PAT5347</t>
  </si>
  <si>
    <t>PAT5348</t>
  </si>
  <si>
    <t>PAT5349</t>
  </si>
  <si>
    <t>PAT5350</t>
  </si>
  <si>
    <t>PAT5351</t>
  </si>
  <si>
    <t>PAT5352</t>
  </si>
  <si>
    <t>PAT5353</t>
  </si>
  <si>
    <t>PAT5354</t>
  </si>
  <si>
    <t>PAT5355</t>
  </si>
  <si>
    <t>PAT5356</t>
  </si>
  <si>
    <t>PAT5357</t>
  </si>
  <si>
    <t>PAT5358</t>
  </si>
  <si>
    <t>PAT5359</t>
  </si>
  <si>
    <t>PAT5360</t>
  </si>
  <si>
    <t>PAT5361</t>
  </si>
  <si>
    <t>PAT5362</t>
  </si>
  <si>
    <t>PAT5363</t>
  </si>
  <si>
    <t>PAT5364</t>
  </si>
  <si>
    <t>PAT5365</t>
  </si>
  <si>
    <t>PAT5366</t>
  </si>
  <si>
    <t>PAT5367</t>
  </si>
  <si>
    <t>PAT5368</t>
  </si>
  <si>
    <t>PAT5369</t>
  </si>
  <si>
    <t>PAT5370</t>
  </si>
  <si>
    <t>PAT5371</t>
  </si>
  <si>
    <t>PAT5372</t>
  </si>
  <si>
    <t>PAT5373</t>
  </si>
  <si>
    <t>PAT5374</t>
  </si>
  <si>
    <t>PAT5375</t>
  </si>
  <si>
    <t>PAT5376</t>
  </si>
  <si>
    <t>PAT5377</t>
  </si>
  <si>
    <t>PAT5378</t>
  </si>
  <si>
    <t>PAT5379</t>
  </si>
  <si>
    <t>PAT5380</t>
  </si>
  <si>
    <t>PAT5381</t>
  </si>
  <si>
    <t>PAT5382</t>
  </si>
  <si>
    <t>PAT5383</t>
  </si>
  <si>
    <t>PAT5384</t>
  </si>
  <si>
    <t>PAT5385</t>
  </si>
  <si>
    <t>PAT5386</t>
  </si>
  <si>
    <t>PAT5387</t>
  </si>
  <si>
    <t>PAT5388</t>
  </si>
  <si>
    <t>PAT5389</t>
  </si>
  <si>
    <t>PAT5390</t>
  </si>
  <si>
    <t>PAT5391</t>
  </si>
  <si>
    <t>PAT5392</t>
  </si>
  <si>
    <t>PAT5393</t>
  </si>
  <si>
    <t>PAT5394</t>
  </si>
  <si>
    <t>PAT5395</t>
  </si>
  <si>
    <t>PAT5396</t>
  </si>
  <si>
    <t>PAT5397</t>
  </si>
  <si>
    <t>PAT5398</t>
  </si>
  <si>
    <t>PAT5399</t>
  </si>
  <si>
    <t>PAT5400</t>
  </si>
  <si>
    <t>PAT5401</t>
  </si>
  <si>
    <t>PAT5402</t>
  </si>
  <si>
    <t>PAT5403</t>
  </si>
  <si>
    <t>PAT5404</t>
  </si>
  <si>
    <t>PAT5405</t>
  </si>
  <si>
    <t>PAT5406</t>
  </si>
  <si>
    <t>PAT5407</t>
  </si>
  <si>
    <t>PAT5408</t>
  </si>
  <si>
    <t>PAT5409</t>
  </si>
  <si>
    <t>PAT5410</t>
  </si>
  <si>
    <t>PAT5411</t>
  </si>
  <si>
    <t>PAT5412</t>
  </si>
  <si>
    <t>PAT5413</t>
  </si>
  <si>
    <t>PAT5414</t>
  </si>
  <si>
    <t>PAT5415</t>
  </si>
  <si>
    <t>PAT5416</t>
  </si>
  <si>
    <t>PAT5417</t>
  </si>
  <si>
    <t>PAT5418</t>
  </si>
  <si>
    <t>PAT5419</t>
  </si>
  <si>
    <t>PAT5420</t>
  </si>
  <si>
    <t>PAT5421</t>
  </si>
  <si>
    <t>PAT5422</t>
  </si>
  <si>
    <t>PAT5423</t>
  </si>
  <si>
    <t>PAT5424</t>
  </si>
  <si>
    <t>PAT5425</t>
  </si>
  <si>
    <t>PAT5426</t>
  </si>
  <si>
    <t>PAT5427</t>
  </si>
  <si>
    <t>PAT5428</t>
  </si>
  <si>
    <t>PAT5429</t>
  </si>
  <si>
    <t>PAT5430</t>
  </si>
  <si>
    <t>PAT5431</t>
  </si>
  <si>
    <t>PAT5432</t>
  </si>
  <si>
    <t>PAT5433</t>
  </si>
  <si>
    <t>PAT5434</t>
  </si>
  <si>
    <t>PAT5435</t>
  </si>
  <si>
    <t>PAT5436</t>
  </si>
  <si>
    <t>PAT5437</t>
  </si>
  <si>
    <t>PAT5438</t>
  </si>
  <si>
    <t>PAT5439</t>
  </si>
  <si>
    <t>PAT5440</t>
  </si>
  <si>
    <t>PAT5441</t>
  </si>
  <si>
    <t>PAT5442</t>
  </si>
  <si>
    <t>PAT5443</t>
  </si>
  <si>
    <t>PAT5444</t>
  </si>
  <si>
    <t>PAT5445</t>
  </si>
  <si>
    <t>PAT5446</t>
  </si>
  <si>
    <t>PAT5447</t>
  </si>
  <si>
    <t>PAT5448</t>
  </si>
  <si>
    <t>PAT5449</t>
  </si>
  <si>
    <t>PAT5450</t>
  </si>
  <si>
    <t>PAT5451</t>
  </si>
  <si>
    <t>PAT5452</t>
  </si>
  <si>
    <t>PAT5453</t>
  </si>
  <si>
    <t>PAT5454</t>
  </si>
  <si>
    <t>PAT5455</t>
  </si>
  <si>
    <t>PAT5456</t>
  </si>
  <si>
    <t>PAT5457</t>
  </si>
  <si>
    <t>PAT5458</t>
  </si>
  <si>
    <t>PAT5459</t>
  </si>
  <si>
    <t>PAT5460</t>
  </si>
  <si>
    <t>PAT5461</t>
  </si>
  <si>
    <t>PAT5462</t>
  </si>
  <si>
    <t>PAT5463</t>
  </si>
  <si>
    <t>PAT5464</t>
  </si>
  <si>
    <t>PAT5465</t>
  </si>
  <si>
    <t>PAT5466</t>
  </si>
  <si>
    <t>PAT5467</t>
  </si>
  <si>
    <t>PAT5468</t>
  </si>
  <si>
    <t>PAT5469</t>
  </si>
  <si>
    <t>PAT5470</t>
  </si>
  <si>
    <t>PAT5471</t>
  </si>
  <si>
    <t>PAT5472</t>
  </si>
  <si>
    <t>PAT5473</t>
  </si>
  <si>
    <t>PAT5474</t>
  </si>
  <si>
    <t>PAT5475</t>
  </si>
  <si>
    <t>PAT5476</t>
  </si>
  <si>
    <t>PAT5477</t>
  </si>
  <si>
    <t>PAT5478</t>
  </si>
  <si>
    <t>PAT5479</t>
  </si>
  <si>
    <t>PAT5480</t>
  </si>
  <si>
    <t>PAT5481</t>
  </si>
  <si>
    <t>PAT5482</t>
  </si>
  <si>
    <t>PAT5483</t>
  </si>
  <si>
    <t>PAT5484</t>
  </si>
  <si>
    <t>PAT5485</t>
  </si>
  <si>
    <t>PAT5486</t>
  </si>
  <si>
    <t>PAT5487</t>
  </si>
  <si>
    <t>PAT5488</t>
  </si>
  <si>
    <t>PAT5489</t>
  </si>
  <si>
    <t>PAT5490</t>
  </si>
  <si>
    <t>PAT5491</t>
  </si>
  <si>
    <t>PAT5492</t>
  </si>
  <si>
    <t>PAT5493</t>
  </si>
  <si>
    <t>PAT5494</t>
  </si>
  <si>
    <t>PAT5495</t>
  </si>
  <si>
    <t>PAT5496</t>
  </si>
  <si>
    <t>PAT5497</t>
  </si>
  <si>
    <t>PAT5498</t>
  </si>
  <si>
    <t>PAT5499</t>
  </si>
  <si>
    <t>PAT5500</t>
  </si>
  <si>
    <t>PAT5501</t>
  </si>
  <si>
    <t>PAT5502</t>
  </si>
  <si>
    <t>PAT5503</t>
  </si>
  <si>
    <t>PAT5504</t>
  </si>
  <si>
    <t>PAT5505</t>
  </si>
  <si>
    <t>PAT5506</t>
  </si>
  <si>
    <t>PAT5507</t>
  </si>
  <si>
    <t>PAT5508</t>
  </si>
  <si>
    <t>PAT5509</t>
  </si>
  <si>
    <t>PAT5510</t>
  </si>
  <si>
    <t>PAT5511</t>
  </si>
  <si>
    <t>PAT5512</t>
  </si>
  <si>
    <t>PAT5513</t>
  </si>
  <si>
    <t>PAT5514</t>
  </si>
  <si>
    <t>PAT5515</t>
  </si>
  <si>
    <t>PAT5516</t>
  </si>
  <si>
    <t>PAT5517</t>
  </si>
  <si>
    <t>PAT5518</t>
  </si>
  <si>
    <t>PAT5519</t>
  </si>
  <si>
    <t>PAT5520</t>
  </si>
  <si>
    <t>PAT5521</t>
  </si>
  <si>
    <t>PAT5522</t>
  </si>
  <si>
    <t>PAT5523</t>
  </si>
  <si>
    <t>PAT5524</t>
  </si>
  <si>
    <t>PAT5525</t>
  </si>
  <si>
    <t>PAT5526</t>
  </si>
  <si>
    <t>PAT5527</t>
  </si>
  <si>
    <t>PAT5528</t>
  </si>
  <si>
    <t>PAT5529</t>
  </si>
  <si>
    <t>PAT5530</t>
  </si>
  <si>
    <t>PAT5531</t>
  </si>
  <si>
    <t>PAT5532</t>
  </si>
  <si>
    <t>PAT5533</t>
  </si>
  <si>
    <t>PAT5534</t>
  </si>
  <si>
    <t>PAT5535</t>
  </si>
  <si>
    <t>PAT5536</t>
  </si>
  <si>
    <t>PAT5537</t>
  </si>
  <si>
    <t>PAT5538</t>
  </si>
  <si>
    <t>PAT5539</t>
  </si>
  <si>
    <t>PAT5540</t>
  </si>
  <si>
    <t>PAT5541</t>
  </si>
  <si>
    <t>PAT5542</t>
  </si>
  <si>
    <t>PAT5543</t>
  </si>
  <si>
    <t>PAT5544</t>
  </si>
  <si>
    <t>PAT5545</t>
  </si>
  <si>
    <t>PAT5546</t>
  </si>
  <si>
    <t>PAT5547</t>
  </si>
  <si>
    <t>PAT5548</t>
  </si>
  <si>
    <t>PAT5549</t>
  </si>
  <si>
    <t>PAT5550</t>
  </si>
  <si>
    <t>PAT5551</t>
  </si>
  <si>
    <t>PAT5552</t>
  </si>
  <si>
    <t>PAT5553</t>
  </si>
  <si>
    <t>PAT5554</t>
  </si>
  <si>
    <t>PAT5555</t>
  </si>
  <si>
    <t>PAT5556</t>
  </si>
  <si>
    <t>PAT5557</t>
  </si>
  <si>
    <t>PAT5558</t>
  </si>
  <si>
    <t>PAT5559</t>
  </si>
  <si>
    <t>PAT5560</t>
  </si>
  <si>
    <t>PAT5561</t>
  </si>
  <si>
    <t>PAT5562</t>
  </si>
  <si>
    <t>PAT5563</t>
  </si>
  <si>
    <t>PAT5564</t>
  </si>
  <si>
    <t>PAT5565</t>
  </si>
  <si>
    <t>PAT5566</t>
  </si>
  <si>
    <t>PAT5567</t>
  </si>
  <si>
    <t>PAT5568</t>
  </si>
  <si>
    <t>PAT5569</t>
  </si>
  <si>
    <t>PAT5570</t>
  </si>
  <si>
    <t>PAT5571</t>
  </si>
  <si>
    <t>PAT5572</t>
  </si>
  <si>
    <t>PAT5573</t>
  </si>
  <si>
    <t>PAT5574</t>
  </si>
  <si>
    <t>PAT5575</t>
  </si>
  <si>
    <t>PAT5576</t>
  </si>
  <si>
    <t>PAT5577</t>
  </si>
  <si>
    <t>PAT5578</t>
  </si>
  <si>
    <t>PAT5579</t>
  </si>
  <si>
    <t>PAT5580</t>
  </si>
  <si>
    <t>PAT5581</t>
  </si>
  <si>
    <t>PAT5582</t>
  </si>
  <si>
    <t>PAT5583</t>
  </si>
  <si>
    <t>PAT5584</t>
  </si>
  <si>
    <t>PAT5585</t>
  </si>
  <si>
    <t>PAT5586</t>
  </si>
  <si>
    <t>PAT5587</t>
  </si>
  <si>
    <t>PAT5588</t>
  </si>
  <si>
    <t>PAT5589</t>
  </si>
  <si>
    <t>PAT5590</t>
  </si>
  <si>
    <t>PAT5591</t>
  </si>
  <si>
    <t>PAT5592</t>
  </si>
  <si>
    <t>PAT5593</t>
  </si>
  <si>
    <t>PAT5594</t>
  </si>
  <si>
    <t>PAT5595</t>
  </si>
  <si>
    <t>PAT5596</t>
  </si>
  <si>
    <t>PAT5597</t>
  </si>
  <si>
    <t>PAT5598</t>
  </si>
  <si>
    <t>PAT5599</t>
  </si>
  <si>
    <t>PAT5600</t>
  </si>
  <si>
    <t>PAT5601</t>
  </si>
  <si>
    <t>PAT5602</t>
  </si>
  <si>
    <t>PAT5603</t>
  </si>
  <si>
    <t>PAT5604</t>
  </si>
  <si>
    <t>PAT5605</t>
  </si>
  <si>
    <t>PAT5606</t>
  </si>
  <si>
    <t>PAT5607</t>
  </si>
  <si>
    <t>PAT5608</t>
  </si>
  <si>
    <t>PAT5609</t>
  </si>
  <si>
    <t>PAT5610</t>
  </si>
  <si>
    <t>PAT5611</t>
  </si>
  <si>
    <t>PAT5612</t>
  </si>
  <si>
    <t>PAT5613</t>
  </si>
  <si>
    <t>PAT5614</t>
  </si>
  <si>
    <t>PAT5615</t>
  </si>
  <si>
    <t>PAT5616</t>
  </si>
  <si>
    <t>PAT5617</t>
  </si>
  <si>
    <t>PAT5618</t>
  </si>
  <si>
    <t>PAT5619</t>
  </si>
  <si>
    <t>PAT5620</t>
  </si>
  <si>
    <t>PAT5621</t>
  </si>
  <si>
    <t>PAT5622</t>
  </si>
  <si>
    <t>PAT5623</t>
  </si>
  <si>
    <t>PAT5624</t>
  </si>
  <si>
    <t>PAT5625</t>
  </si>
  <si>
    <t>PAT5626</t>
  </si>
  <si>
    <t>PAT5627</t>
  </si>
  <si>
    <t>PAT5628</t>
  </si>
  <si>
    <t>PAT5629</t>
  </si>
  <si>
    <t>PAT5630</t>
  </si>
  <si>
    <t>PAT5631</t>
  </si>
  <si>
    <t>PAT5632</t>
  </si>
  <si>
    <t>PAT5633</t>
  </si>
  <si>
    <t>PAT5634</t>
  </si>
  <si>
    <t>PAT5635</t>
  </si>
  <si>
    <t>PAT5636</t>
  </si>
  <si>
    <t>PAT5637</t>
  </si>
  <si>
    <t>PAT5638</t>
  </si>
  <si>
    <t>PAT5639</t>
  </si>
  <si>
    <t>PAT5640</t>
  </si>
  <si>
    <t>PAT5641</t>
  </si>
  <si>
    <t>PAT5642</t>
  </si>
  <si>
    <t>PAT5643</t>
  </si>
  <si>
    <t>PAT5644</t>
  </si>
  <si>
    <t>PAT5645</t>
  </si>
  <si>
    <t>PAT5646</t>
  </si>
  <si>
    <t>PAT5647</t>
  </si>
  <si>
    <t>PAT5648</t>
  </si>
  <si>
    <t>PAT5649</t>
  </si>
  <si>
    <t>PAT5650</t>
  </si>
  <si>
    <t>PAT5651</t>
  </si>
  <si>
    <t>PAT5652</t>
  </si>
  <si>
    <t>PAT5653</t>
  </si>
  <si>
    <t>PAT5654</t>
  </si>
  <si>
    <t>PAT5655</t>
  </si>
  <si>
    <t>PAT5656</t>
  </si>
  <si>
    <t>PAT5657</t>
  </si>
  <si>
    <t>PAT5658</t>
  </si>
  <si>
    <t>PAT5659</t>
  </si>
  <si>
    <t>PAT5660</t>
  </si>
  <si>
    <t>PAT5661</t>
  </si>
  <si>
    <t>PAT5662</t>
  </si>
  <si>
    <t>PAT5663</t>
  </si>
  <si>
    <t>PAT5664</t>
  </si>
  <si>
    <t>PAT5665</t>
  </si>
  <si>
    <t>PAT5666</t>
  </si>
  <si>
    <t>PAT5667</t>
  </si>
  <si>
    <t>PAT5668</t>
  </si>
  <si>
    <t>PAT5669</t>
  </si>
  <si>
    <t>PAT5670</t>
  </si>
  <si>
    <t>PAT5671</t>
  </si>
  <si>
    <t>PAT5672</t>
  </si>
  <si>
    <t>PAT5673</t>
  </si>
  <si>
    <t>PAT5674</t>
  </si>
  <si>
    <t>PAT5675</t>
  </si>
  <si>
    <t>PAT5676</t>
  </si>
  <si>
    <t>PAT5677</t>
  </si>
  <si>
    <t>PAT5678</t>
  </si>
  <si>
    <t>PAT5679</t>
  </si>
  <si>
    <t>PAT5680</t>
  </si>
  <si>
    <t>PAT5681</t>
  </si>
  <si>
    <t>PAT5682</t>
  </si>
  <si>
    <t>PAT5683</t>
  </si>
  <si>
    <t>PAT5684</t>
  </si>
  <si>
    <t>PAT5685</t>
  </si>
  <si>
    <t>PAT5686</t>
  </si>
  <si>
    <t>PAT5687</t>
  </si>
  <si>
    <t>PAT5688</t>
  </si>
  <si>
    <t>PAT5689</t>
  </si>
  <si>
    <t>PAT5690</t>
  </si>
  <si>
    <t>PAT5691</t>
  </si>
  <si>
    <t>PAT5692</t>
  </si>
  <si>
    <t>PAT5693</t>
  </si>
  <si>
    <t>PAT5694</t>
  </si>
  <si>
    <t>PAT5695</t>
  </si>
  <si>
    <t>PAT5696</t>
  </si>
  <si>
    <t>PAT5697</t>
  </si>
  <si>
    <t>PAT5698</t>
  </si>
  <si>
    <t>PAT5699</t>
  </si>
  <si>
    <t>PAT5700</t>
  </si>
  <si>
    <t>PAT5701</t>
  </si>
  <si>
    <t>PAT5702</t>
  </si>
  <si>
    <t>PAT5703</t>
  </si>
  <si>
    <t>PAT5704</t>
  </si>
  <si>
    <t>PAT5705</t>
  </si>
  <si>
    <t>PAT5706</t>
  </si>
  <si>
    <t>PAT5707</t>
  </si>
  <si>
    <t>PAT5708</t>
  </si>
  <si>
    <t>PAT5709</t>
  </si>
  <si>
    <t>PAT5710</t>
  </si>
  <si>
    <t>PAT5711</t>
  </si>
  <si>
    <t>PAT5712</t>
  </si>
  <si>
    <t>PAT5713</t>
  </si>
  <si>
    <t>PAT5714</t>
  </si>
  <si>
    <t>PAT5715</t>
  </si>
  <si>
    <t>PAT5716</t>
  </si>
  <si>
    <t>PAT5717</t>
  </si>
  <si>
    <t>PAT5718</t>
  </si>
  <si>
    <t>PAT5719</t>
  </si>
  <si>
    <t>PAT5720</t>
  </si>
  <si>
    <t>PAT5721</t>
  </si>
  <si>
    <t>PAT5722</t>
  </si>
  <si>
    <t>PAT5723</t>
  </si>
  <si>
    <t>PAT5724</t>
  </si>
  <si>
    <t>PAT5725</t>
  </si>
  <si>
    <t>PAT5726</t>
  </si>
  <si>
    <t>PAT5727</t>
  </si>
  <si>
    <t>PAT5728</t>
  </si>
  <si>
    <t>PAT5729</t>
  </si>
  <si>
    <t>PAT5730</t>
  </si>
  <si>
    <t>PAT5731</t>
  </si>
  <si>
    <t>PAT5732</t>
  </si>
  <si>
    <t>PAT5733</t>
  </si>
  <si>
    <t>PAT5734</t>
  </si>
  <si>
    <t>PAT5735</t>
  </si>
  <si>
    <t>PAT5736</t>
  </si>
  <si>
    <t>PAT5737</t>
  </si>
  <si>
    <t>PAT5738</t>
  </si>
  <si>
    <t>PAT5739</t>
  </si>
  <si>
    <t>PAT5740</t>
  </si>
  <si>
    <t>PAT5741</t>
  </si>
  <si>
    <t>PAT5742</t>
  </si>
  <si>
    <t>PAT5743</t>
  </si>
  <si>
    <t>PAT5744</t>
  </si>
  <si>
    <t>PAT5745</t>
  </si>
  <si>
    <t>PAT5746</t>
  </si>
  <si>
    <t>PAT5747</t>
  </si>
  <si>
    <t>PAT5748</t>
  </si>
  <si>
    <t>PAT5749</t>
  </si>
  <si>
    <t>PAT5750</t>
  </si>
  <si>
    <t>PAT5751</t>
  </si>
  <si>
    <t>PAT5752</t>
  </si>
  <si>
    <t>PAT5753</t>
  </si>
  <si>
    <t>PAT5754</t>
  </si>
  <si>
    <t>PAT5755</t>
  </si>
  <si>
    <t>PAT5756</t>
  </si>
  <si>
    <t>PAT5757</t>
  </si>
  <si>
    <t>PAT5758</t>
  </si>
  <si>
    <t>PAT5759</t>
  </si>
  <si>
    <t>PAT5760</t>
  </si>
  <si>
    <t>PAT5761</t>
  </si>
  <si>
    <t>PAT5762</t>
  </si>
  <si>
    <t>PAT5763</t>
  </si>
  <si>
    <t>PAT5764</t>
  </si>
  <si>
    <t>PAT5765</t>
  </si>
  <si>
    <t>PAT5766</t>
  </si>
  <si>
    <t>PAT5767</t>
  </si>
  <si>
    <t>PAT5768</t>
  </si>
  <si>
    <t>PAT5769</t>
  </si>
  <si>
    <t>PAT5770</t>
  </si>
  <si>
    <t>PAT5771</t>
  </si>
  <si>
    <t>PAT5772</t>
  </si>
  <si>
    <t>PAT5773</t>
  </si>
  <si>
    <t>PAT5774</t>
  </si>
  <si>
    <t>PAT5775</t>
  </si>
  <si>
    <t>PAT5776</t>
  </si>
  <si>
    <t>PAT5777</t>
  </si>
  <si>
    <t>PAT5778</t>
  </si>
  <si>
    <t>PAT5779</t>
  </si>
  <si>
    <t>PAT5780</t>
  </si>
  <si>
    <t>PAT5781</t>
  </si>
  <si>
    <t>PAT5782</t>
  </si>
  <si>
    <t>PAT5783</t>
  </si>
  <si>
    <t>PAT5784</t>
  </si>
  <si>
    <t>PAT5785</t>
  </si>
  <si>
    <t>PAT5786</t>
  </si>
  <si>
    <t>PAT5787</t>
  </si>
  <si>
    <t>PAT5788</t>
  </si>
  <si>
    <t>PAT5789</t>
  </si>
  <si>
    <t>PAT5790</t>
  </si>
  <si>
    <t>PAT5791</t>
  </si>
  <si>
    <t>PAT5792</t>
  </si>
  <si>
    <t>PAT5793</t>
  </si>
  <si>
    <t>PAT5794</t>
  </si>
  <si>
    <t>PAT5795</t>
  </si>
  <si>
    <t>PAT5796</t>
  </si>
  <si>
    <t>PAT5797</t>
  </si>
  <si>
    <t>PAT5798</t>
  </si>
  <si>
    <t>PAT5799</t>
  </si>
  <si>
    <t>PAT5800</t>
  </si>
  <si>
    <t>PAT5801</t>
  </si>
  <si>
    <t>PAT5802</t>
  </si>
  <si>
    <t>PAT5803</t>
  </si>
  <si>
    <t>PAT5804</t>
  </si>
  <si>
    <t>PAT5805</t>
  </si>
  <si>
    <t>PAT5806</t>
  </si>
  <si>
    <t>PAT5807</t>
  </si>
  <si>
    <t>PAT5808</t>
  </si>
  <si>
    <t>PAT5809</t>
  </si>
  <si>
    <t>PAT5810</t>
  </si>
  <si>
    <t>PAT5811</t>
  </si>
  <si>
    <t>PAT5812</t>
  </si>
  <si>
    <t>PAT5813</t>
  </si>
  <si>
    <t>PAT5814</t>
  </si>
  <si>
    <t>PAT5815</t>
  </si>
  <si>
    <t>PAT5816</t>
  </si>
  <si>
    <t>PAT5817</t>
  </si>
  <si>
    <t>PAT5818</t>
  </si>
  <si>
    <t>PAT5819</t>
  </si>
  <si>
    <t>PAT5820</t>
  </si>
  <si>
    <t>PAT5821</t>
  </si>
  <si>
    <t>PAT5822</t>
  </si>
  <si>
    <t>PAT5823</t>
  </si>
  <si>
    <t>PAT5824</t>
  </si>
  <si>
    <t>PAT5825</t>
  </si>
  <si>
    <t>PAT5826</t>
  </si>
  <si>
    <t>PAT5827</t>
  </si>
  <si>
    <t>PAT5828</t>
  </si>
  <si>
    <t>PAT5829</t>
  </si>
  <si>
    <t>PAT5830</t>
  </si>
  <si>
    <t>PAT5831</t>
  </si>
  <si>
    <t>PAT5832</t>
  </si>
  <si>
    <t>PAT5833</t>
  </si>
  <si>
    <t>PAT5834</t>
  </si>
  <si>
    <t>PAT5835</t>
  </si>
  <si>
    <t>PAT5836</t>
  </si>
  <si>
    <t>PAT5837</t>
  </si>
  <si>
    <t>PAT5838</t>
  </si>
  <si>
    <t>PAT5839</t>
  </si>
  <si>
    <t>PAT5840</t>
  </si>
  <si>
    <t>PAT5841</t>
  </si>
  <si>
    <t>PAT5842</t>
  </si>
  <si>
    <t>PAT5843</t>
  </si>
  <si>
    <t>PAT5844</t>
  </si>
  <si>
    <t>PAT5845</t>
  </si>
  <si>
    <t>PAT5846</t>
  </si>
  <si>
    <t>PAT5847</t>
  </si>
  <si>
    <t>PAT5848</t>
  </si>
  <si>
    <t>PAT5849</t>
  </si>
  <si>
    <t>PAT5850</t>
  </si>
  <si>
    <t>PAT5851</t>
  </si>
  <si>
    <t>PAT5852</t>
  </si>
  <si>
    <t>PAT5853</t>
  </si>
  <si>
    <t>PAT5854</t>
  </si>
  <si>
    <t>PAT5855</t>
  </si>
  <si>
    <t>PAT5856</t>
  </si>
  <si>
    <t>PAT5857</t>
  </si>
  <si>
    <t>PAT5858</t>
  </si>
  <si>
    <t>PAT5859</t>
  </si>
  <si>
    <t>PAT5860</t>
  </si>
  <si>
    <t>PAT5861</t>
  </si>
  <si>
    <t>PAT5862</t>
  </si>
  <si>
    <t>PAT5863</t>
  </si>
  <si>
    <t>PAT5864</t>
  </si>
  <si>
    <t>PAT5865</t>
  </si>
  <si>
    <t>PAT5866</t>
  </si>
  <si>
    <t>PAT5867</t>
  </si>
  <si>
    <t>PAT5868</t>
  </si>
  <si>
    <t>PAT5869</t>
  </si>
  <si>
    <t>PAT5870</t>
  </si>
  <si>
    <t>PAT5871</t>
  </si>
  <si>
    <t>PAT5872</t>
  </si>
  <si>
    <t>PAT5873</t>
  </si>
  <si>
    <t>PAT5874</t>
  </si>
  <si>
    <t>PAT5875</t>
  </si>
  <si>
    <t>PAT5876</t>
  </si>
  <si>
    <t>PAT5877</t>
  </si>
  <si>
    <t>PAT5878</t>
  </si>
  <si>
    <t>PAT5879</t>
  </si>
  <si>
    <t>PAT5880</t>
  </si>
  <si>
    <t>PAT5881</t>
  </si>
  <si>
    <t>PAT5882</t>
  </si>
  <si>
    <t>PAT5883</t>
  </si>
  <si>
    <t>PAT5884</t>
  </si>
  <si>
    <t>PAT5885</t>
  </si>
  <si>
    <t>PAT5886</t>
  </si>
  <si>
    <t>PAT5887</t>
  </si>
  <si>
    <t>PAT5888</t>
  </si>
  <si>
    <t>PAT5889</t>
  </si>
  <si>
    <t>PAT5890</t>
  </si>
  <si>
    <t>PAT5891</t>
  </si>
  <si>
    <t>PAT5892</t>
  </si>
  <si>
    <t>PAT5893</t>
  </si>
  <si>
    <t>PAT5894</t>
  </si>
  <si>
    <t>PAT5895</t>
  </si>
  <si>
    <t>PAT5896</t>
  </si>
  <si>
    <t>PAT5897</t>
  </si>
  <si>
    <t>PAT5898</t>
  </si>
  <si>
    <t>PAT5899</t>
  </si>
  <si>
    <t>PAT5900</t>
  </si>
  <si>
    <t>PAT5901</t>
  </si>
  <si>
    <t>PAT5902</t>
  </si>
  <si>
    <t>PAT5903</t>
  </si>
  <si>
    <t>PAT5904</t>
  </si>
  <si>
    <t>PAT5905</t>
  </si>
  <si>
    <t>PAT5906</t>
  </si>
  <si>
    <t>PAT5907</t>
  </si>
  <si>
    <t>PAT5908</t>
  </si>
  <si>
    <t>PAT5909</t>
  </si>
  <si>
    <t>PAT5910</t>
  </si>
  <si>
    <t>PAT5911</t>
  </si>
  <si>
    <t>PAT5912</t>
  </si>
  <si>
    <t>PAT5913</t>
  </si>
  <si>
    <t>PAT5914</t>
  </si>
  <si>
    <t>PAT5915</t>
  </si>
  <si>
    <t>PAT5916</t>
  </si>
  <si>
    <t>PAT5917</t>
  </si>
  <si>
    <t>PAT5918</t>
  </si>
  <si>
    <t>PAT5919</t>
  </si>
  <si>
    <t>PAT5920</t>
  </si>
  <si>
    <t>PAT5921</t>
  </si>
  <si>
    <t>PAT5922</t>
  </si>
  <si>
    <t>PAT5923</t>
  </si>
  <si>
    <t>PAT5924</t>
  </si>
  <si>
    <t>PAT5925</t>
  </si>
  <si>
    <t>PAT5926</t>
  </si>
  <si>
    <t>PAT5927</t>
  </si>
  <si>
    <t>PAT5928</t>
  </si>
  <si>
    <t>PAT5929</t>
  </si>
  <si>
    <t>PAT5930</t>
  </si>
  <si>
    <t>PAT5931</t>
  </si>
  <si>
    <t>PAT5932</t>
  </si>
  <si>
    <t>PAT5933</t>
  </si>
  <si>
    <t>PAT5934</t>
  </si>
  <si>
    <t>PAT5935</t>
  </si>
  <si>
    <t>PAT5936</t>
  </si>
  <si>
    <t>PAT5937</t>
  </si>
  <si>
    <t>PAT5938</t>
  </si>
  <si>
    <t>PAT5939</t>
  </si>
  <si>
    <t>PAT5940</t>
  </si>
  <si>
    <t>PAT5941</t>
  </si>
  <si>
    <t>PAT5942</t>
  </si>
  <si>
    <t>PAT5943</t>
  </si>
  <si>
    <t>PAT5944</t>
  </si>
  <si>
    <t>PAT5945</t>
  </si>
  <si>
    <t>PAT5946</t>
  </si>
  <si>
    <t>PAT5947</t>
  </si>
  <si>
    <t>PAT5948</t>
  </si>
  <si>
    <t>PAT5949</t>
  </si>
  <si>
    <t>PAT5950</t>
  </si>
  <si>
    <t>PAT5951</t>
  </si>
  <si>
    <t>PAT5952</t>
  </si>
  <si>
    <t>PAT5953</t>
  </si>
  <si>
    <t>PAT5954</t>
  </si>
  <si>
    <t>PAT5955</t>
  </si>
  <si>
    <t>PAT5956</t>
  </si>
  <si>
    <t>PAT5957</t>
  </si>
  <si>
    <t>PAT5958</t>
  </si>
  <si>
    <t>PAT5959</t>
  </si>
  <si>
    <t>PAT5960</t>
  </si>
  <si>
    <t>PAT5961</t>
  </si>
  <si>
    <t>PAT5962</t>
  </si>
  <si>
    <t>PAT5963</t>
  </si>
  <si>
    <t>PAT5964</t>
  </si>
  <si>
    <t>PAT5965</t>
  </si>
  <si>
    <t>PAT5966</t>
  </si>
  <si>
    <t>PAT5967</t>
  </si>
  <si>
    <t>PAT5968</t>
  </si>
  <si>
    <t>PAT5969</t>
  </si>
  <si>
    <t>PAT5970</t>
  </si>
  <si>
    <t>PAT5971</t>
  </si>
  <si>
    <t>PAT5972</t>
  </si>
  <si>
    <t>PAT5973</t>
  </si>
  <si>
    <t>PAT5974</t>
  </si>
  <si>
    <t>PAT5975</t>
  </si>
  <si>
    <t>PAT5976</t>
  </si>
  <si>
    <t>PAT5977</t>
  </si>
  <si>
    <t>PAT5978</t>
  </si>
  <si>
    <t>PAT5979</t>
  </si>
  <si>
    <t>PAT5980</t>
  </si>
  <si>
    <t>PAT5981</t>
  </si>
  <si>
    <t>PAT5982</t>
  </si>
  <si>
    <t>PAT5983</t>
  </si>
  <si>
    <t>PAT5984</t>
  </si>
  <si>
    <t>PAT5985</t>
  </si>
  <si>
    <t>PAT5986</t>
  </si>
  <si>
    <t>PAT5987</t>
  </si>
  <si>
    <t>PAT5988</t>
  </si>
  <si>
    <t>PAT5989</t>
  </si>
  <si>
    <t>PAT5990</t>
  </si>
  <si>
    <t>PAT5991</t>
  </si>
  <si>
    <t>PAT5992</t>
  </si>
  <si>
    <t>PAT5993</t>
  </si>
  <si>
    <t>PAT5994</t>
  </si>
  <si>
    <t>PAT5995</t>
  </si>
  <si>
    <t>PAT5996</t>
  </si>
  <si>
    <t>PAT5997</t>
  </si>
  <si>
    <t>PAT5998</t>
  </si>
  <si>
    <t>PAT5999</t>
  </si>
  <si>
    <t>age 0-18 average hospital stay</t>
  </si>
  <si>
    <t>age 19-35 average hostital stay</t>
  </si>
  <si>
    <t>age 36 -60</t>
  </si>
  <si>
    <t>age 60 +</t>
  </si>
  <si>
    <t xml:space="preserve">Month-year </t>
  </si>
  <si>
    <t>Row Labels</t>
  </si>
  <si>
    <t>Grand Total</t>
  </si>
  <si>
    <t>Column Labels</t>
  </si>
  <si>
    <t>1. What is the average length of hospital stay for different age groups?</t>
  </si>
  <si>
    <t>Apr-2023</t>
  </si>
  <si>
    <t>Jan-2023</t>
  </si>
  <si>
    <t>Sep-2023</t>
  </si>
  <si>
    <t>Aug-2023</t>
  </si>
  <si>
    <t>Mar-2023</t>
  </si>
  <si>
    <t>Jun-2023</t>
  </si>
  <si>
    <t>Dec-2023</t>
  </si>
  <si>
    <t>Jul-2023</t>
  </si>
  <si>
    <t>Nov-2023</t>
  </si>
  <si>
    <t>Oct-2023</t>
  </si>
  <si>
    <t>Mar-2024</t>
  </si>
  <si>
    <t>Count of Patient ID</t>
  </si>
  <si>
    <t>3. Which diseases or conditions are most frequently diagnosed?</t>
  </si>
  <si>
    <t>2. What is the average length of hospital stay for different age groups?</t>
  </si>
  <si>
    <t>Average of Stay Duration (days)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</si>
  <si>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</si>
  <si>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</si>
  <si>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</si>
  <si>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</si>
  <si>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</si>
  <si>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</si>
  <si>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</si>
  <si>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</si>
  <si>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</si>
  <si>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4. What is the average treatment cost for different diseases?</t>
  </si>
  <si>
    <t>Average of Treatment Cost</t>
  </si>
  <si>
    <t>5. Is there a seasonal trend in the number of hospital admissions?</t>
  </si>
  <si>
    <t>6. Which medications are most commonly prescribed by department?</t>
  </si>
  <si>
    <t>Count of Medication</t>
  </si>
  <si>
    <t>7. What percentage of patients have insurance coverage?</t>
  </si>
  <si>
    <t>8. How many emergency cases were handled in the last 12 months?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</si>
  <si>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</si>
  <si>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</si>
  <si>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</si>
  <si>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</si>
  <si>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</si>
  <si>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</si>
  <si>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</si>
  <si>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</si>
  <si>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</si>
  <si>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</si>
  <si>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</si>
  <si>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</si>
  <si>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9. What is the doctor-to-patient ratio in each department?</t>
  </si>
  <si>
    <t xml:space="preserve">Operational &amp; Quality Control Questions </t>
  </si>
  <si>
    <t>Distinct Count of Doctor</t>
  </si>
  <si>
    <t>Total_Patients</t>
  </si>
  <si>
    <t>Unique_Doctors</t>
  </si>
  <si>
    <t>Doctor_Patient_Ratio</t>
  </si>
  <si>
    <t>10. Which diagnostic tests have the highest rejection or error rate?</t>
  </si>
  <si>
    <t>Rejection rate</t>
  </si>
  <si>
    <t>11. What is the average waiting time for patients from appointment to consultation?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</si>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</sst>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-F400]h:mm:ss\ AM/PM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[HealthCare.xlsx]Sheet1!Q2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Sheet1!$B$19:$B$20</c:f>
              <c:strCache>
                <c:ptCount val="1"/>
                <c:pt idx="0">
                  <c:v>Cardiology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Sheet1!$A$21:$A$32</c:f>
              <c:strCache>
                <c:ptCount val="11"/>
                <c:pt idx="0">
                  <c:v>Sep-2023</c:v>
                </c:pt>
                <c:pt idx="1">
                  <c:v>Oct-2023</c:v>
                </c:pt>
                <c:pt idx="2">
                  <c:v>Nov-2023</c:v>
                </c:pt>
                <c:pt idx="3">
                  <c:v>Mar-2024</c:v>
                </c:pt>
                <c:pt idx="4">
                  <c:v>Mar-2023</c:v>
                </c:pt>
                <c:pt idx="5">
                  <c:v>Jun-2023</c:v>
                </c:pt>
                <c:pt idx="6">
                  <c:v>Jul-2023</c:v>
                </c:pt>
                <c:pt idx="7">
                  <c:v>Jan-2023</c:v>
                </c:pt>
                <c:pt idx="8">
                  <c:v>Dec-2023</c:v>
                </c:pt>
                <c:pt idx="9">
                  <c:v>Aug-2023</c:v>
                </c:pt>
                <c:pt idx="10">
                  <c:v>Apr-2023</c:v>
                </c:pt>
              </c:strCache>
            </c:strRef>
          </c:cat>
          <c:val>
            <c:numRef>
              <c:f>Sheet1!$B$21:$B$32</c:f>
              <c:numCache>
                <c:formatCode>General</c:formatCode>
                <c:ptCount val="11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7</c:v>
                </c:pt>
                <c:pt idx="4">
                  <c:v>7</c:v>
                </c:pt>
                <c:pt idx="5">
                  <c:v>15</c:v>
                </c:pt>
                <c:pt idx="6">
                  <c:v>9</c:v>
                </c:pt>
                <c:pt idx="7">
                  <c:v>5</c:v>
                </c:pt>
                <c:pt idx="8">
                  <c:v>9</c:v>
                </c:pt>
                <c:pt idx="9">
                  <c:v>6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E-4A3E-85AB-7AED645596BF}"/>
            </c:ext>
          </c:extLst>
        </c:ser>
        <c:ser>
          <c:idx val="1"/>
          <c:order val="1"/>
          <c:tx>
            <c:strRef>
              <c:f>Sheet1!$C$19:$C$20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Sheet1!$A$21:$A$32</c:f>
              <c:strCache>
                <c:ptCount val="11"/>
                <c:pt idx="0">
                  <c:v>Sep-2023</c:v>
                </c:pt>
                <c:pt idx="1">
                  <c:v>Oct-2023</c:v>
                </c:pt>
                <c:pt idx="2">
                  <c:v>Nov-2023</c:v>
                </c:pt>
                <c:pt idx="3">
                  <c:v>Mar-2024</c:v>
                </c:pt>
                <c:pt idx="4">
                  <c:v>Mar-2023</c:v>
                </c:pt>
                <c:pt idx="5">
                  <c:v>Jun-2023</c:v>
                </c:pt>
                <c:pt idx="6">
                  <c:v>Jul-2023</c:v>
                </c:pt>
                <c:pt idx="7">
                  <c:v>Jan-2023</c:v>
                </c:pt>
                <c:pt idx="8">
                  <c:v>Dec-2023</c:v>
                </c:pt>
                <c:pt idx="9">
                  <c:v>Aug-2023</c:v>
                </c:pt>
                <c:pt idx="10">
                  <c:v>Apr-2023</c:v>
                </c:pt>
              </c:strCache>
            </c:strRef>
          </c:cat>
          <c:val>
            <c:numRef>
              <c:f>Sheet1!$C$21:$C$32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13</c:v>
                </c:pt>
                <c:pt idx="5">
                  <c:v>10</c:v>
                </c:pt>
                <c:pt idx="6">
                  <c:v>11</c:v>
                </c:pt>
                <c:pt idx="7">
                  <c:v>7</c:v>
                </c:pt>
                <c:pt idx="8">
                  <c:v>10</c:v>
                </c:pt>
                <c:pt idx="9">
                  <c:v>13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E-4A3E-85AB-7AED645596BF}"/>
            </c:ext>
          </c:extLst>
        </c:ser>
        <c:ser>
          <c:idx val="2"/>
          <c:order val="2"/>
          <c:tx>
            <c:strRef>
              <c:f>Sheet1!$D$19:$D$20</c:f>
              <c:strCache>
                <c:ptCount val="1"/>
                <c:pt idx="0">
                  <c:v>General Medicine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Sheet1!$A$21:$A$32</c:f>
              <c:strCache>
                <c:ptCount val="11"/>
                <c:pt idx="0">
                  <c:v>Sep-2023</c:v>
                </c:pt>
                <c:pt idx="1">
                  <c:v>Oct-2023</c:v>
                </c:pt>
                <c:pt idx="2">
                  <c:v>Nov-2023</c:v>
                </c:pt>
                <c:pt idx="3">
                  <c:v>Mar-2024</c:v>
                </c:pt>
                <c:pt idx="4">
                  <c:v>Mar-2023</c:v>
                </c:pt>
                <c:pt idx="5">
                  <c:v>Jun-2023</c:v>
                </c:pt>
                <c:pt idx="6">
                  <c:v>Jul-2023</c:v>
                </c:pt>
                <c:pt idx="7">
                  <c:v>Jan-2023</c:v>
                </c:pt>
                <c:pt idx="8">
                  <c:v>Dec-2023</c:v>
                </c:pt>
                <c:pt idx="9">
                  <c:v>Aug-2023</c:v>
                </c:pt>
                <c:pt idx="10">
                  <c:v>Apr-2023</c:v>
                </c:pt>
              </c:strCache>
            </c:strRef>
          </c:cat>
          <c:val>
            <c:numRef>
              <c:f>Sheet1!$D$21:$D$32</c:f>
              <c:numCache>
                <c:formatCode>General</c:formatCode>
                <c:ptCount val="1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8</c:v>
                </c:pt>
                <c:pt idx="4">
                  <c:v>12</c:v>
                </c:pt>
                <c:pt idx="5">
                  <c:v>9</c:v>
                </c:pt>
                <c:pt idx="6">
                  <c:v>6</c:v>
                </c:pt>
                <c:pt idx="7">
                  <c:v>12</c:v>
                </c:pt>
                <c:pt idx="8">
                  <c:v>13</c:v>
                </c:pt>
                <c:pt idx="9">
                  <c:v>11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E-4A3E-85AB-7AED645596BF}"/>
            </c:ext>
          </c:extLst>
        </c:ser>
        <c:ser>
          <c:idx val="3"/>
          <c:order val="3"/>
          <c:tx>
            <c:strRef>
              <c:f>Sheet1!$E$19:$E$20</c:f>
              <c:strCache>
                <c:ptCount val="1"/>
                <c:pt idx="0">
                  <c:v>ICU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Sheet1!$A$21:$A$32</c:f>
              <c:strCache>
                <c:ptCount val="11"/>
                <c:pt idx="0">
                  <c:v>Sep-2023</c:v>
                </c:pt>
                <c:pt idx="1">
                  <c:v>Oct-2023</c:v>
                </c:pt>
                <c:pt idx="2">
                  <c:v>Nov-2023</c:v>
                </c:pt>
                <c:pt idx="3">
                  <c:v>Mar-2024</c:v>
                </c:pt>
                <c:pt idx="4">
                  <c:v>Mar-2023</c:v>
                </c:pt>
                <c:pt idx="5">
                  <c:v>Jun-2023</c:v>
                </c:pt>
                <c:pt idx="6">
                  <c:v>Jul-2023</c:v>
                </c:pt>
                <c:pt idx="7">
                  <c:v>Jan-2023</c:v>
                </c:pt>
                <c:pt idx="8">
                  <c:v>Dec-2023</c:v>
                </c:pt>
                <c:pt idx="9">
                  <c:v>Aug-2023</c:v>
                </c:pt>
                <c:pt idx="10">
                  <c:v>Apr-2023</c:v>
                </c:pt>
              </c:strCache>
            </c:strRef>
          </c:cat>
          <c:val>
            <c:numRef>
              <c:f>Sheet1!$E$21:$E$32</c:f>
              <c:numCache>
                <c:formatCode>General</c:formatCode>
                <c:ptCount val="11"/>
                <c:pt idx="0">
                  <c:v>14</c:v>
                </c:pt>
                <c:pt idx="1">
                  <c:v>14</c:v>
                </c:pt>
                <c:pt idx="2">
                  <c:v>8</c:v>
                </c:pt>
                <c:pt idx="3">
                  <c:v>7</c:v>
                </c:pt>
                <c:pt idx="4">
                  <c:v>14</c:v>
                </c:pt>
                <c:pt idx="5">
                  <c:v>10</c:v>
                </c:pt>
                <c:pt idx="6">
                  <c:v>10</c:v>
                </c:pt>
                <c:pt idx="7">
                  <c:v>13</c:v>
                </c:pt>
                <c:pt idx="8">
                  <c:v>3</c:v>
                </c:pt>
                <c:pt idx="9">
                  <c:v>11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EE-4A3E-85AB-7AED645596BF}"/>
            </c:ext>
          </c:extLst>
        </c:ser>
        <c:ser>
          <c:idx val="4"/>
          <c:order val="4"/>
          <c:tx>
            <c:strRef>
              <c:f>Sheet1!$F$19:$F$20</c:f>
              <c:strCache>
                <c:ptCount val="1"/>
                <c:pt idx="0">
                  <c:v>Neurology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Sheet1!$A$21:$A$32</c:f>
              <c:strCache>
                <c:ptCount val="11"/>
                <c:pt idx="0">
                  <c:v>Sep-2023</c:v>
                </c:pt>
                <c:pt idx="1">
                  <c:v>Oct-2023</c:v>
                </c:pt>
                <c:pt idx="2">
                  <c:v>Nov-2023</c:v>
                </c:pt>
                <c:pt idx="3">
                  <c:v>Mar-2024</c:v>
                </c:pt>
                <c:pt idx="4">
                  <c:v>Mar-2023</c:v>
                </c:pt>
                <c:pt idx="5">
                  <c:v>Jun-2023</c:v>
                </c:pt>
                <c:pt idx="6">
                  <c:v>Jul-2023</c:v>
                </c:pt>
                <c:pt idx="7">
                  <c:v>Jan-2023</c:v>
                </c:pt>
                <c:pt idx="8">
                  <c:v>Dec-2023</c:v>
                </c:pt>
                <c:pt idx="9">
                  <c:v>Aug-2023</c:v>
                </c:pt>
                <c:pt idx="10">
                  <c:v>Apr-2023</c:v>
                </c:pt>
              </c:strCache>
            </c:strRef>
          </c:cat>
          <c:val>
            <c:numRef>
              <c:f>Sheet1!$F$21:$F$32</c:f>
              <c:numCache>
                <c:formatCode>General</c:formatCode>
                <c:ptCount val="11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10</c:v>
                </c:pt>
                <c:pt idx="8">
                  <c:v>9</c:v>
                </c:pt>
                <c:pt idx="9">
                  <c:v>16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E-4A3E-85AB-7AED645596BF}"/>
            </c:ext>
          </c:extLst>
        </c:ser>
        <c:ser>
          <c:idx val="5"/>
          <c:order val="5"/>
          <c:tx>
            <c:strRef>
              <c:f>Sheet1!$G$19:$G$20</c:f>
              <c:strCache>
                <c:ptCount val="1"/>
                <c:pt idx="0">
                  <c:v>Orthopedics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Sheet1!$A$21:$A$32</c:f>
              <c:strCache>
                <c:ptCount val="11"/>
                <c:pt idx="0">
                  <c:v>Sep-2023</c:v>
                </c:pt>
                <c:pt idx="1">
                  <c:v>Oct-2023</c:v>
                </c:pt>
                <c:pt idx="2">
                  <c:v>Nov-2023</c:v>
                </c:pt>
                <c:pt idx="3">
                  <c:v>Mar-2024</c:v>
                </c:pt>
                <c:pt idx="4">
                  <c:v>Mar-2023</c:v>
                </c:pt>
                <c:pt idx="5">
                  <c:v>Jun-2023</c:v>
                </c:pt>
                <c:pt idx="6">
                  <c:v>Jul-2023</c:v>
                </c:pt>
                <c:pt idx="7">
                  <c:v>Jan-2023</c:v>
                </c:pt>
                <c:pt idx="8">
                  <c:v>Dec-2023</c:v>
                </c:pt>
                <c:pt idx="9">
                  <c:v>Aug-2023</c:v>
                </c:pt>
                <c:pt idx="10">
                  <c:v>Apr-2023</c:v>
                </c:pt>
              </c:strCache>
            </c:strRef>
          </c:cat>
          <c:val>
            <c:numRef>
              <c:f>Sheet1!$G$21:$G$32</c:f>
              <c:numCache>
                <c:formatCode>General</c:formatCode>
                <c:ptCount val="11"/>
                <c:pt idx="0">
                  <c:v>8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9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11</c:v>
                </c:pt>
                <c:pt idx="9">
                  <c:v>10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EE-4A3E-85AB-7AED64559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615616"/>
        <c:axId val="1772619456"/>
      </c:areaChart>
      <c:catAx>
        <c:axId val="177261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619456"/>
        <c:crosses val="autoZero"/>
        <c:auto val="1"/>
        <c:lblAlgn val="ctr"/>
        <c:lblOffset val="100"/>
        <c:noMultiLvlLbl val="0"/>
      </c:catAx>
      <c:valAx>
        <c:axId val="17726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61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Sheet1!$B$85:$B$86</c:f>
              <c:strCache>
                <c:ptCount val="1"/>
                <c:pt idx="0">
                  <c:v>MedA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Sheet1!$A$87:$A$93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Neurology</c:v>
                </c:pt>
                <c:pt idx="5">
                  <c:v>Orthopedics</c:v>
                </c:pt>
              </c:strCache>
            </c:strRef>
          </c:cat>
          <c:val>
            <c:numRef>
              <c:f>Sheet1!$B$87:$B$93</c:f>
              <c:numCache>
                <c:formatCode>General</c:formatCode>
                <c:ptCount val="6"/>
                <c:pt idx="0">
                  <c:v>31</c:v>
                </c:pt>
                <c:pt idx="1">
                  <c:v>35</c:v>
                </c:pt>
                <c:pt idx="2">
                  <c:v>26</c:v>
                </c:pt>
                <c:pt idx="3">
                  <c:v>45</c:v>
                </c:pt>
                <c:pt idx="4">
                  <c:v>25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E-4FFB-8262-A90D41855470}"/>
            </c:ext>
          </c:extLst>
        </c:ser>
        <c:ser>
          <c:idx val="1"/>
          <c:order val="1"/>
          <c:tx>
            <c:strRef>
              <c:f>Sheet1!$C$85:$C$86</c:f>
              <c:strCache>
                <c:ptCount val="1"/>
                <c:pt idx="0">
                  <c:v>MedB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Sheet1!$A$87:$A$93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Neurology</c:v>
                </c:pt>
                <c:pt idx="5">
                  <c:v>Orthopedics</c:v>
                </c:pt>
              </c:strCache>
            </c:strRef>
          </c:cat>
          <c:val>
            <c:numRef>
              <c:f>Sheet1!$C$87:$C$93</c:f>
              <c:numCache>
                <c:formatCode>General</c:formatCode>
                <c:ptCount val="6"/>
                <c:pt idx="0">
                  <c:v>31</c:v>
                </c:pt>
                <c:pt idx="1">
                  <c:v>29</c:v>
                </c:pt>
                <c:pt idx="2">
                  <c:v>37</c:v>
                </c:pt>
                <c:pt idx="3">
                  <c:v>35</c:v>
                </c:pt>
                <c:pt idx="4">
                  <c:v>40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7E-4FFB-8262-A90D41855470}"/>
            </c:ext>
          </c:extLst>
        </c:ser>
        <c:ser>
          <c:idx val="2"/>
          <c:order val="2"/>
          <c:tx>
            <c:strRef>
              <c:f>Sheet1!$D$85:$D$86</c:f>
              <c:strCache>
                <c:ptCount val="1"/>
                <c:pt idx="0">
                  <c:v>MedC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Sheet1!$A$87:$A$93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Neurology</c:v>
                </c:pt>
                <c:pt idx="5">
                  <c:v>Orthopedics</c:v>
                </c:pt>
              </c:strCache>
            </c:strRef>
          </c:cat>
          <c:val>
            <c:numRef>
              <c:f>Sheet1!$D$87:$D$93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39</c:v>
                </c:pt>
                <c:pt idx="3">
                  <c:v>27</c:v>
                </c:pt>
                <c:pt idx="4">
                  <c:v>36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7E-4FFB-8262-A90D41855470}"/>
            </c:ext>
          </c:extLst>
        </c:ser>
        <c:ser>
          <c:idx val="3"/>
          <c:order val="3"/>
          <c:tx>
            <c:strRef>
              <c:f>Sheet1!$E$85:$E$86</c:f>
              <c:strCache>
                <c:ptCount val="1"/>
                <c:pt idx="0">
                  <c:v>MedD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Sheet1!$A$87:$A$93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Neurology</c:v>
                </c:pt>
                <c:pt idx="5">
                  <c:v>Orthopedics</c:v>
                </c:pt>
              </c:strCache>
            </c:strRef>
          </c:cat>
          <c:val>
            <c:numRef>
              <c:f>Sheet1!$E$87:$E$93</c:f>
              <c:numCache>
                <c:formatCode>General</c:formatCode>
                <c:ptCount val="6"/>
                <c:pt idx="0">
                  <c:v>35</c:v>
                </c:pt>
                <c:pt idx="1">
                  <c:v>29</c:v>
                </c:pt>
                <c:pt idx="2">
                  <c:v>39</c:v>
                </c:pt>
                <c:pt idx="3">
                  <c:v>35</c:v>
                </c:pt>
                <c:pt idx="4">
                  <c:v>44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7E-4FFB-8262-A90D41855470}"/>
            </c:ext>
          </c:extLst>
        </c:ser>
        <c:ser>
          <c:idx val="4"/>
          <c:order val="4"/>
          <c:tx>
            <c:strRef>
              <c:f>Sheet1!$F$85:$F$86</c:f>
              <c:strCache>
                <c:ptCount val="1"/>
                <c:pt idx="0">
                  <c:v>MedE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Sheet1!$A$87:$A$93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Neurology</c:v>
                </c:pt>
                <c:pt idx="5">
                  <c:v>Orthopedics</c:v>
                </c:pt>
              </c:strCache>
            </c:strRef>
          </c:cat>
          <c:val>
            <c:numRef>
              <c:f>Sheet1!$F$87:$F$93</c:f>
              <c:numCache>
                <c:formatCode>General</c:formatCode>
                <c:ptCount val="6"/>
                <c:pt idx="0">
                  <c:v>34</c:v>
                </c:pt>
                <c:pt idx="1">
                  <c:v>34</c:v>
                </c:pt>
                <c:pt idx="2">
                  <c:v>40</c:v>
                </c:pt>
                <c:pt idx="3">
                  <c:v>37</c:v>
                </c:pt>
                <c:pt idx="4">
                  <c:v>28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7E-4FFB-8262-A90D41855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4075584"/>
        <c:axId val="1624092384"/>
      </c:barChart>
      <c:catAx>
        <c:axId val="1624075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92384"/>
        <c:crosses val="autoZero"/>
        <c:auto val="1"/>
        <c:lblAlgn val="ctr"/>
        <c:lblOffset val="100"/>
        <c:noMultiLvlLbl val="0"/>
      </c:catAx>
      <c:valAx>
        <c:axId val="162409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7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</xdr:row>
      <xdr:rowOff>0</xdr:rowOff>
    </xdr:from>
    <xdr:to>
      <xdr:col>5</xdr:col>
      <xdr:colOff>114300</xdr:colOff>
      <xdr:row>80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02E391-F5DB-4F20-9993-AAE8424D6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81</xdr:row>
      <xdr:rowOff>87630</xdr:rowOff>
    </xdr:from>
    <xdr:to>
      <xdr:col>19</xdr:col>
      <xdr:colOff>723900</xdr:colOff>
      <xdr:row>94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5A09C-0D7D-A442-ECA5-523C1C0D5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endrasinh Vaghela" refreshedDate="46042.963818518518" createdVersion="8" refreshedVersion="8" minRefreshableVersion="3" recordCount="1000" xr:uid="{094D7136-897C-4EE5-9B32-CAB10DEE7A84}">
  <cacheSource type="worksheet">
    <worksheetSource name="Table1"/>
  </cacheSource>
  <cacheFields count="25">
    <cacheField name="Patient ID" numFmtId="0">
      <sharedItems count="1000">
        <s v="PAT5000"/>
        <s v="PAT5001"/>
        <s v="PAT5002"/>
        <s v="PAT5003"/>
        <s v="PAT5004"/>
        <s v="PAT5005"/>
        <s v="PAT5006"/>
        <s v="PAT5007"/>
        <s v="PAT5008"/>
        <s v="PAT5009"/>
        <s v="PAT5010"/>
        <s v="PAT5011"/>
        <s v="PAT5012"/>
        <s v="PAT5013"/>
        <s v="PAT5014"/>
        <s v="PAT5015"/>
        <s v="PAT5016"/>
        <s v="PAT5017"/>
        <s v="PAT5018"/>
        <s v="PAT5019"/>
        <s v="PAT5020"/>
        <s v="PAT5021"/>
        <s v="PAT5022"/>
        <s v="PAT5023"/>
        <s v="PAT5024"/>
        <s v="PAT5025"/>
        <s v="PAT5026"/>
        <s v="PAT5027"/>
        <s v="PAT5028"/>
        <s v="PAT5029"/>
        <s v="PAT5030"/>
        <s v="PAT5031"/>
        <s v="PAT5032"/>
        <s v="PAT5033"/>
        <s v="PAT5034"/>
        <s v="PAT5035"/>
        <s v="PAT5036"/>
        <s v="PAT5037"/>
        <s v="PAT5038"/>
        <s v="PAT5039"/>
        <s v="PAT5040"/>
        <s v="PAT5041"/>
        <s v="PAT5042"/>
        <s v="PAT5043"/>
        <s v="PAT5044"/>
        <s v="PAT5045"/>
        <s v="PAT5046"/>
        <s v="PAT5047"/>
        <s v="PAT5048"/>
        <s v="PAT5049"/>
        <s v="PAT5050"/>
        <s v="PAT5051"/>
        <s v="PAT5052"/>
        <s v="PAT5053"/>
        <s v="PAT5054"/>
        <s v="PAT5055"/>
        <s v="PAT5056"/>
        <s v="PAT5057"/>
        <s v="PAT5058"/>
        <s v="PAT5059"/>
        <s v="PAT5060"/>
        <s v="PAT5061"/>
        <s v="PAT5062"/>
        <s v="PAT5063"/>
        <s v="PAT5064"/>
        <s v="PAT5065"/>
        <s v="PAT5066"/>
        <s v="PAT5067"/>
        <s v="PAT5068"/>
        <s v="PAT5069"/>
        <s v="PAT5070"/>
        <s v="PAT5071"/>
        <s v="PAT5072"/>
        <s v="PAT5073"/>
        <s v="PAT5074"/>
        <s v="PAT5075"/>
        <s v="PAT5076"/>
        <s v="PAT5077"/>
        <s v="PAT5078"/>
        <s v="PAT5079"/>
        <s v="PAT5080"/>
        <s v="PAT5081"/>
        <s v="PAT5082"/>
        <s v="PAT5083"/>
        <s v="PAT5084"/>
        <s v="PAT5085"/>
        <s v="PAT5086"/>
        <s v="PAT5087"/>
        <s v="PAT5088"/>
        <s v="PAT5089"/>
        <s v="PAT5090"/>
        <s v="PAT5091"/>
        <s v="PAT5092"/>
        <s v="PAT5093"/>
        <s v="PAT5094"/>
        <s v="PAT5095"/>
        <s v="PAT5096"/>
        <s v="PAT5097"/>
        <s v="PAT5098"/>
        <s v="PAT5099"/>
        <s v="PAT5100"/>
        <s v="PAT5101"/>
        <s v="PAT5102"/>
        <s v="PAT5103"/>
        <s v="PAT5104"/>
        <s v="PAT5105"/>
        <s v="PAT5106"/>
        <s v="PAT5107"/>
        <s v="PAT5108"/>
        <s v="PAT5109"/>
        <s v="PAT5110"/>
        <s v="PAT5111"/>
        <s v="PAT5112"/>
        <s v="PAT5113"/>
        <s v="PAT5114"/>
        <s v="PAT5115"/>
        <s v="PAT5116"/>
        <s v="PAT5117"/>
        <s v="PAT5118"/>
        <s v="PAT5119"/>
        <s v="PAT5120"/>
        <s v="PAT5121"/>
        <s v="PAT5122"/>
        <s v="PAT5123"/>
        <s v="PAT5124"/>
        <s v="PAT5125"/>
        <s v="PAT5126"/>
        <s v="PAT5127"/>
        <s v="PAT5128"/>
        <s v="PAT5129"/>
        <s v="PAT5130"/>
        <s v="PAT5131"/>
        <s v="PAT5132"/>
        <s v="PAT5133"/>
        <s v="PAT5134"/>
        <s v="PAT5135"/>
        <s v="PAT5136"/>
        <s v="PAT5137"/>
        <s v="PAT5138"/>
        <s v="PAT5139"/>
        <s v="PAT5140"/>
        <s v="PAT5141"/>
        <s v="PAT5142"/>
        <s v="PAT5143"/>
        <s v="PAT5144"/>
        <s v="PAT5145"/>
        <s v="PAT5146"/>
        <s v="PAT5147"/>
        <s v="PAT5148"/>
        <s v="PAT5149"/>
        <s v="PAT5150"/>
        <s v="PAT5151"/>
        <s v="PAT5152"/>
        <s v="PAT5153"/>
        <s v="PAT5154"/>
        <s v="PAT5155"/>
        <s v="PAT5156"/>
        <s v="PAT5157"/>
        <s v="PAT5158"/>
        <s v="PAT5159"/>
        <s v="PAT5160"/>
        <s v="PAT5161"/>
        <s v="PAT5162"/>
        <s v="PAT5163"/>
        <s v="PAT5164"/>
        <s v="PAT5165"/>
        <s v="PAT5166"/>
        <s v="PAT5167"/>
        <s v="PAT5168"/>
        <s v="PAT5169"/>
        <s v="PAT5170"/>
        <s v="PAT5171"/>
        <s v="PAT5172"/>
        <s v="PAT5173"/>
        <s v="PAT5174"/>
        <s v="PAT5175"/>
        <s v="PAT5176"/>
        <s v="PAT5177"/>
        <s v="PAT5178"/>
        <s v="PAT5179"/>
        <s v="PAT5180"/>
        <s v="PAT5181"/>
        <s v="PAT5182"/>
        <s v="PAT5183"/>
        <s v="PAT5184"/>
        <s v="PAT5185"/>
        <s v="PAT5186"/>
        <s v="PAT5187"/>
        <s v="PAT5188"/>
        <s v="PAT5189"/>
        <s v="PAT5190"/>
        <s v="PAT5191"/>
        <s v="PAT5192"/>
        <s v="PAT5193"/>
        <s v="PAT5194"/>
        <s v="PAT5195"/>
        <s v="PAT5196"/>
        <s v="PAT5197"/>
        <s v="PAT5198"/>
        <s v="PAT5199"/>
        <s v="PAT5200"/>
        <s v="PAT5201"/>
        <s v="PAT5202"/>
        <s v="PAT5203"/>
        <s v="PAT5204"/>
        <s v="PAT5205"/>
        <s v="PAT5206"/>
        <s v="PAT5207"/>
        <s v="PAT5208"/>
        <s v="PAT5209"/>
        <s v="PAT5210"/>
        <s v="PAT5211"/>
        <s v="PAT5212"/>
        <s v="PAT5213"/>
        <s v="PAT5214"/>
        <s v="PAT5215"/>
        <s v="PAT5216"/>
        <s v="PAT5217"/>
        <s v="PAT5218"/>
        <s v="PAT5219"/>
        <s v="PAT5220"/>
        <s v="PAT5221"/>
        <s v="PAT5222"/>
        <s v="PAT5223"/>
        <s v="PAT5224"/>
        <s v="PAT5225"/>
        <s v="PAT5226"/>
        <s v="PAT5227"/>
        <s v="PAT5228"/>
        <s v="PAT5229"/>
        <s v="PAT5230"/>
        <s v="PAT5231"/>
        <s v="PAT5232"/>
        <s v="PAT5233"/>
        <s v="PAT5234"/>
        <s v="PAT5235"/>
        <s v="PAT5236"/>
        <s v="PAT5237"/>
        <s v="PAT5238"/>
        <s v="PAT5239"/>
        <s v="PAT5240"/>
        <s v="PAT5241"/>
        <s v="PAT5242"/>
        <s v="PAT5243"/>
        <s v="PAT5244"/>
        <s v="PAT5245"/>
        <s v="PAT5246"/>
        <s v="PAT5247"/>
        <s v="PAT5248"/>
        <s v="PAT5249"/>
        <s v="PAT5250"/>
        <s v="PAT5251"/>
        <s v="PAT5252"/>
        <s v="PAT5253"/>
        <s v="PAT5254"/>
        <s v="PAT5255"/>
        <s v="PAT5256"/>
        <s v="PAT5257"/>
        <s v="PAT5258"/>
        <s v="PAT5259"/>
        <s v="PAT5260"/>
        <s v="PAT5261"/>
        <s v="PAT5262"/>
        <s v="PAT5263"/>
        <s v="PAT5264"/>
        <s v="PAT5265"/>
        <s v="PAT5266"/>
        <s v="PAT5267"/>
        <s v="PAT5268"/>
        <s v="PAT5269"/>
        <s v="PAT5270"/>
        <s v="PAT5271"/>
        <s v="PAT5272"/>
        <s v="PAT5273"/>
        <s v="PAT5274"/>
        <s v="PAT5275"/>
        <s v="PAT5276"/>
        <s v="PAT5277"/>
        <s v="PAT5278"/>
        <s v="PAT5279"/>
        <s v="PAT5280"/>
        <s v="PAT5281"/>
        <s v="PAT5282"/>
        <s v="PAT5283"/>
        <s v="PAT5284"/>
        <s v="PAT5285"/>
        <s v="PAT5286"/>
        <s v="PAT5287"/>
        <s v="PAT5288"/>
        <s v="PAT5289"/>
        <s v="PAT5290"/>
        <s v="PAT5291"/>
        <s v="PAT5292"/>
        <s v="PAT5293"/>
        <s v="PAT5294"/>
        <s v="PAT5295"/>
        <s v="PAT5296"/>
        <s v="PAT5297"/>
        <s v="PAT5298"/>
        <s v="PAT5299"/>
        <s v="PAT5300"/>
        <s v="PAT5301"/>
        <s v="PAT5302"/>
        <s v="PAT5303"/>
        <s v="PAT5304"/>
        <s v="PAT5305"/>
        <s v="PAT5306"/>
        <s v="PAT5307"/>
        <s v="PAT5308"/>
        <s v="PAT5309"/>
        <s v="PAT5310"/>
        <s v="PAT5311"/>
        <s v="PAT5312"/>
        <s v="PAT5313"/>
        <s v="PAT5314"/>
        <s v="PAT5315"/>
        <s v="PAT5316"/>
        <s v="PAT5317"/>
        <s v="PAT5318"/>
        <s v="PAT5319"/>
        <s v="PAT5320"/>
        <s v="PAT5321"/>
        <s v="PAT5322"/>
        <s v="PAT5323"/>
        <s v="PAT5324"/>
        <s v="PAT5325"/>
        <s v="PAT5326"/>
        <s v="PAT5327"/>
        <s v="PAT5328"/>
        <s v="PAT5329"/>
        <s v="PAT5330"/>
        <s v="PAT5331"/>
        <s v="PAT5332"/>
        <s v="PAT5333"/>
        <s v="PAT5334"/>
        <s v="PAT5335"/>
        <s v="PAT5336"/>
        <s v="PAT5337"/>
        <s v="PAT5338"/>
        <s v="PAT5339"/>
        <s v="PAT5340"/>
        <s v="PAT5341"/>
        <s v="PAT5342"/>
        <s v="PAT5343"/>
        <s v="PAT5344"/>
        <s v="PAT5345"/>
        <s v="PAT5346"/>
        <s v="PAT5347"/>
        <s v="PAT5348"/>
        <s v="PAT5349"/>
        <s v="PAT5350"/>
        <s v="PAT5351"/>
        <s v="PAT5352"/>
        <s v="PAT5353"/>
        <s v="PAT5354"/>
        <s v="PAT5355"/>
        <s v="PAT5356"/>
        <s v="PAT5357"/>
        <s v="PAT5358"/>
        <s v="PAT5359"/>
        <s v="PAT5360"/>
        <s v="PAT5361"/>
        <s v="PAT5362"/>
        <s v="PAT5363"/>
        <s v="PAT5364"/>
        <s v="PAT5365"/>
        <s v="PAT5366"/>
        <s v="PAT5367"/>
        <s v="PAT5368"/>
        <s v="PAT5369"/>
        <s v="PAT5370"/>
        <s v="PAT5371"/>
        <s v="PAT5372"/>
        <s v="PAT5373"/>
        <s v="PAT5374"/>
        <s v="PAT5375"/>
        <s v="PAT5376"/>
        <s v="PAT5377"/>
        <s v="PAT5378"/>
        <s v="PAT5379"/>
        <s v="PAT5380"/>
        <s v="PAT5381"/>
        <s v="PAT5382"/>
        <s v="PAT5383"/>
        <s v="PAT5384"/>
        <s v="PAT5385"/>
        <s v="PAT5386"/>
        <s v="PAT5387"/>
        <s v="PAT5388"/>
        <s v="PAT5389"/>
        <s v="PAT5390"/>
        <s v="PAT5391"/>
        <s v="PAT5392"/>
        <s v="PAT5393"/>
        <s v="PAT5394"/>
        <s v="PAT5395"/>
        <s v="PAT5396"/>
        <s v="PAT5397"/>
        <s v="PAT5398"/>
        <s v="PAT5399"/>
        <s v="PAT5400"/>
        <s v="PAT5401"/>
        <s v="PAT5402"/>
        <s v="PAT5403"/>
        <s v="PAT5404"/>
        <s v="PAT5405"/>
        <s v="PAT5406"/>
        <s v="PAT5407"/>
        <s v="PAT5408"/>
        <s v="PAT5409"/>
        <s v="PAT5410"/>
        <s v="PAT5411"/>
        <s v="PAT5412"/>
        <s v="PAT5413"/>
        <s v="PAT5414"/>
        <s v="PAT5415"/>
        <s v="PAT5416"/>
        <s v="PAT5417"/>
        <s v="PAT5418"/>
        <s v="PAT5419"/>
        <s v="PAT5420"/>
        <s v="PAT5421"/>
        <s v="PAT5422"/>
        <s v="PAT5423"/>
        <s v="PAT5424"/>
        <s v="PAT5425"/>
        <s v="PAT5426"/>
        <s v="PAT5427"/>
        <s v="PAT5428"/>
        <s v="PAT5429"/>
        <s v="PAT5430"/>
        <s v="PAT5431"/>
        <s v="PAT5432"/>
        <s v="PAT5433"/>
        <s v="PAT5434"/>
        <s v="PAT5435"/>
        <s v="PAT5436"/>
        <s v="PAT5437"/>
        <s v="PAT5438"/>
        <s v="PAT5439"/>
        <s v="PAT5440"/>
        <s v="PAT5441"/>
        <s v="PAT5442"/>
        <s v="PAT5443"/>
        <s v="PAT5444"/>
        <s v="PAT5445"/>
        <s v="PAT5446"/>
        <s v="PAT5447"/>
        <s v="PAT5448"/>
        <s v="PAT5449"/>
        <s v="PAT5450"/>
        <s v="PAT5451"/>
        <s v="PAT5452"/>
        <s v="PAT5453"/>
        <s v="PAT5454"/>
        <s v="PAT5455"/>
        <s v="PAT5456"/>
        <s v="PAT5457"/>
        <s v="PAT5458"/>
        <s v="PAT5459"/>
        <s v="PAT5460"/>
        <s v="PAT5461"/>
        <s v="PAT5462"/>
        <s v="PAT5463"/>
        <s v="PAT5464"/>
        <s v="PAT5465"/>
        <s v="PAT5466"/>
        <s v="PAT5467"/>
        <s v="PAT5468"/>
        <s v="PAT5469"/>
        <s v="PAT5470"/>
        <s v="PAT5471"/>
        <s v="PAT5472"/>
        <s v="PAT5473"/>
        <s v="PAT5474"/>
        <s v="PAT5475"/>
        <s v="PAT5476"/>
        <s v="PAT5477"/>
        <s v="PAT5478"/>
        <s v="PAT5479"/>
        <s v="PAT5480"/>
        <s v="PAT5481"/>
        <s v="PAT5482"/>
        <s v="PAT5483"/>
        <s v="PAT5484"/>
        <s v="PAT5485"/>
        <s v="PAT5486"/>
        <s v="PAT5487"/>
        <s v="PAT5488"/>
        <s v="PAT5489"/>
        <s v="PAT5490"/>
        <s v="PAT5491"/>
        <s v="PAT5492"/>
        <s v="PAT5493"/>
        <s v="PAT5494"/>
        <s v="PAT5495"/>
        <s v="PAT5496"/>
        <s v="PAT5497"/>
        <s v="PAT5498"/>
        <s v="PAT5499"/>
        <s v="PAT5500"/>
        <s v="PAT5501"/>
        <s v="PAT5502"/>
        <s v="PAT5503"/>
        <s v="PAT5504"/>
        <s v="PAT5505"/>
        <s v="PAT5506"/>
        <s v="PAT5507"/>
        <s v="PAT5508"/>
        <s v="PAT5509"/>
        <s v="PAT5510"/>
        <s v="PAT5511"/>
        <s v="PAT5512"/>
        <s v="PAT5513"/>
        <s v="PAT5514"/>
        <s v="PAT5515"/>
        <s v="PAT5516"/>
        <s v="PAT5517"/>
        <s v="PAT5518"/>
        <s v="PAT5519"/>
        <s v="PAT5520"/>
        <s v="PAT5521"/>
        <s v="PAT5522"/>
        <s v="PAT5523"/>
        <s v="PAT5524"/>
        <s v="PAT5525"/>
        <s v="PAT5526"/>
        <s v="PAT5527"/>
        <s v="PAT5528"/>
        <s v="PAT5529"/>
        <s v="PAT5530"/>
        <s v="PAT5531"/>
        <s v="PAT5532"/>
        <s v="PAT5533"/>
        <s v="PAT5534"/>
        <s v="PAT5535"/>
        <s v="PAT5536"/>
        <s v="PAT5537"/>
        <s v="PAT5538"/>
        <s v="PAT5539"/>
        <s v="PAT5540"/>
        <s v="PAT5541"/>
        <s v="PAT5542"/>
        <s v="PAT5543"/>
        <s v="PAT5544"/>
        <s v="PAT5545"/>
        <s v="PAT5546"/>
        <s v="PAT5547"/>
        <s v="PAT5548"/>
        <s v="PAT5549"/>
        <s v="PAT5550"/>
        <s v="PAT5551"/>
        <s v="PAT5552"/>
        <s v="PAT5553"/>
        <s v="PAT5554"/>
        <s v="PAT5555"/>
        <s v="PAT5556"/>
        <s v="PAT5557"/>
        <s v="PAT5558"/>
        <s v="PAT5559"/>
        <s v="PAT5560"/>
        <s v="PAT5561"/>
        <s v="PAT5562"/>
        <s v="PAT5563"/>
        <s v="PAT5564"/>
        <s v="PAT5565"/>
        <s v="PAT5566"/>
        <s v="PAT5567"/>
        <s v="PAT5568"/>
        <s v="PAT5569"/>
        <s v="PAT5570"/>
        <s v="PAT5571"/>
        <s v="PAT5572"/>
        <s v="PAT5573"/>
        <s v="PAT5574"/>
        <s v="PAT5575"/>
        <s v="PAT5576"/>
        <s v="PAT5577"/>
        <s v="PAT5578"/>
        <s v="PAT5579"/>
        <s v="PAT5580"/>
        <s v="PAT5581"/>
        <s v="PAT5582"/>
        <s v="PAT5583"/>
        <s v="PAT5584"/>
        <s v="PAT5585"/>
        <s v="PAT5586"/>
        <s v="PAT5587"/>
        <s v="PAT5588"/>
        <s v="PAT5589"/>
        <s v="PAT5590"/>
        <s v="PAT5591"/>
        <s v="PAT5592"/>
        <s v="PAT5593"/>
        <s v="PAT5594"/>
        <s v="PAT5595"/>
        <s v="PAT5596"/>
        <s v="PAT5597"/>
        <s v="PAT5598"/>
        <s v="PAT5599"/>
        <s v="PAT5600"/>
        <s v="PAT5601"/>
        <s v="PAT5602"/>
        <s v="PAT5603"/>
        <s v="PAT5604"/>
        <s v="PAT5605"/>
        <s v="PAT5606"/>
        <s v="PAT5607"/>
        <s v="PAT5608"/>
        <s v="PAT5609"/>
        <s v="PAT5610"/>
        <s v="PAT5611"/>
        <s v="PAT5612"/>
        <s v="PAT5613"/>
        <s v="PAT5614"/>
        <s v="PAT5615"/>
        <s v="PAT5616"/>
        <s v="PAT5617"/>
        <s v="PAT5618"/>
        <s v="PAT5619"/>
        <s v="PAT5620"/>
        <s v="PAT5621"/>
        <s v="PAT5622"/>
        <s v="PAT5623"/>
        <s v="PAT5624"/>
        <s v="PAT5625"/>
        <s v="PAT5626"/>
        <s v="PAT5627"/>
        <s v="PAT5628"/>
        <s v="PAT5629"/>
        <s v="PAT5630"/>
        <s v="PAT5631"/>
        <s v="PAT5632"/>
        <s v="PAT5633"/>
        <s v="PAT5634"/>
        <s v="PAT5635"/>
        <s v="PAT5636"/>
        <s v="PAT5637"/>
        <s v="PAT5638"/>
        <s v="PAT5639"/>
        <s v="PAT5640"/>
        <s v="PAT5641"/>
        <s v="PAT5642"/>
        <s v="PAT5643"/>
        <s v="PAT5644"/>
        <s v="PAT5645"/>
        <s v="PAT5646"/>
        <s v="PAT5647"/>
        <s v="PAT5648"/>
        <s v="PAT5649"/>
        <s v="PAT5650"/>
        <s v="PAT5651"/>
        <s v="PAT5652"/>
        <s v="PAT5653"/>
        <s v="PAT5654"/>
        <s v="PAT5655"/>
        <s v="PAT5656"/>
        <s v="PAT5657"/>
        <s v="PAT5658"/>
        <s v="PAT5659"/>
        <s v="PAT5660"/>
        <s v="PAT5661"/>
        <s v="PAT5662"/>
        <s v="PAT5663"/>
        <s v="PAT5664"/>
        <s v="PAT5665"/>
        <s v="PAT5666"/>
        <s v="PAT5667"/>
        <s v="PAT5668"/>
        <s v="PAT5669"/>
        <s v="PAT5670"/>
        <s v="PAT5671"/>
        <s v="PAT5672"/>
        <s v="PAT5673"/>
        <s v="PAT5674"/>
        <s v="PAT5675"/>
        <s v="PAT5676"/>
        <s v="PAT5677"/>
        <s v="PAT5678"/>
        <s v="PAT5679"/>
        <s v="PAT5680"/>
        <s v="PAT5681"/>
        <s v="PAT5682"/>
        <s v="PAT5683"/>
        <s v="PAT5684"/>
        <s v="PAT5685"/>
        <s v="PAT5686"/>
        <s v="PAT5687"/>
        <s v="PAT5688"/>
        <s v="PAT5689"/>
        <s v="PAT5690"/>
        <s v="PAT5691"/>
        <s v="PAT5692"/>
        <s v="PAT5693"/>
        <s v="PAT5694"/>
        <s v="PAT5695"/>
        <s v="PAT5696"/>
        <s v="PAT5697"/>
        <s v="PAT5698"/>
        <s v="PAT5699"/>
        <s v="PAT5700"/>
        <s v="PAT5701"/>
        <s v="PAT5702"/>
        <s v="PAT5703"/>
        <s v="PAT5704"/>
        <s v="PAT5705"/>
        <s v="PAT5706"/>
        <s v="PAT5707"/>
        <s v="PAT5708"/>
        <s v="PAT5709"/>
        <s v="PAT5710"/>
        <s v="PAT5711"/>
        <s v="PAT5712"/>
        <s v="PAT5713"/>
        <s v="PAT5714"/>
        <s v="PAT5715"/>
        <s v="PAT5716"/>
        <s v="PAT5717"/>
        <s v="PAT5718"/>
        <s v="PAT5719"/>
        <s v="PAT5720"/>
        <s v="PAT5721"/>
        <s v="PAT5722"/>
        <s v="PAT5723"/>
        <s v="PAT5724"/>
        <s v="PAT5725"/>
        <s v="PAT5726"/>
        <s v="PAT5727"/>
        <s v="PAT5728"/>
        <s v="PAT5729"/>
        <s v="PAT5730"/>
        <s v="PAT5731"/>
        <s v="PAT5732"/>
        <s v="PAT5733"/>
        <s v="PAT5734"/>
        <s v="PAT5735"/>
        <s v="PAT5736"/>
        <s v="PAT5737"/>
        <s v="PAT5738"/>
        <s v="PAT5739"/>
        <s v="PAT5740"/>
        <s v="PAT5741"/>
        <s v="PAT5742"/>
        <s v="PAT5743"/>
        <s v="PAT5744"/>
        <s v="PAT5745"/>
        <s v="PAT5746"/>
        <s v="PAT5747"/>
        <s v="PAT5748"/>
        <s v="PAT5749"/>
        <s v="PAT5750"/>
        <s v="PAT5751"/>
        <s v="PAT5752"/>
        <s v="PAT5753"/>
        <s v="PAT5754"/>
        <s v="PAT5755"/>
        <s v="PAT5756"/>
        <s v="PAT5757"/>
        <s v="PAT5758"/>
        <s v="PAT5759"/>
        <s v="PAT5760"/>
        <s v="PAT5761"/>
        <s v="PAT5762"/>
        <s v="PAT5763"/>
        <s v="PAT5764"/>
        <s v="PAT5765"/>
        <s v="PAT5766"/>
        <s v="PAT5767"/>
        <s v="PAT5768"/>
        <s v="PAT5769"/>
        <s v="PAT5770"/>
        <s v="PAT5771"/>
        <s v="PAT5772"/>
        <s v="PAT5773"/>
        <s v="PAT5774"/>
        <s v="PAT5775"/>
        <s v="PAT5776"/>
        <s v="PAT5777"/>
        <s v="PAT5778"/>
        <s v="PAT5779"/>
        <s v="PAT5780"/>
        <s v="PAT5781"/>
        <s v="PAT5782"/>
        <s v="PAT5783"/>
        <s v="PAT5784"/>
        <s v="PAT5785"/>
        <s v="PAT5786"/>
        <s v="PAT5787"/>
        <s v="PAT5788"/>
        <s v="PAT5789"/>
        <s v="PAT5790"/>
        <s v="PAT5791"/>
        <s v="PAT5792"/>
        <s v="PAT5793"/>
        <s v="PAT5794"/>
        <s v="PAT5795"/>
        <s v="PAT5796"/>
        <s v="PAT5797"/>
        <s v="PAT5798"/>
        <s v="PAT5799"/>
        <s v="PAT5800"/>
        <s v="PAT5801"/>
        <s v="PAT5802"/>
        <s v="PAT5803"/>
        <s v="PAT5804"/>
        <s v="PAT5805"/>
        <s v="PAT5806"/>
        <s v="PAT5807"/>
        <s v="PAT5808"/>
        <s v="PAT5809"/>
        <s v="PAT5810"/>
        <s v="PAT5811"/>
        <s v="PAT5812"/>
        <s v="PAT5813"/>
        <s v="PAT5814"/>
        <s v="PAT5815"/>
        <s v="PAT5816"/>
        <s v="PAT5817"/>
        <s v="PAT5818"/>
        <s v="PAT5819"/>
        <s v="PAT5820"/>
        <s v="PAT5821"/>
        <s v="PAT5822"/>
        <s v="PAT5823"/>
        <s v="PAT5824"/>
        <s v="PAT5825"/>
        <s v="PAT5826"/>
        <s v="PAT5827"/>
        <s v="PAT5828"/>
        <s v="PAT5829"/>
        <s v="PAT5830"/>
        <s v="PAT5831"/>
        <s v="PAT5832"/>
        <s v="PAT5833"/>
        <s v="PAT5834"/>
        <s v="PAT5835"/>
        <s v="PAT5836"/>
        <s v="PAT5837"/>
        <s v="PAT5838"/>
        <s v="PAT5839"/>
        <s v="PAT5840"/>
        <s v="PAT5841"/>
        <s v="PAT5842"/>
        <s v="PAT5843"/>
        <s v="PAT5844"/>
        <s v="PAT5845"/>
        <s v="PAT5846"/>
        <s v="PAT5847"/>
        <s v="PAT5848"/>
        <s v="PAT5849"/>
        <s v="PAT5850"/>
        <s v="PAT5851"/>
        <s v="PAT5852"/>
        <s v="PAT5853"/>
        <s v="PAT5854"/>
        <s v="PAT5855"/>
        <s v="PAT5856"/>
        <s v="PAT5857"/>
        <s v="PAT5858"/>
        <s v="PAT5859"/>
        <s v="PAT5860"/>
        <s v="PAT5861"/>
        <s v="PAT5862"/>
        <s v="PAT5863"/>
        <s v="PAT5864"/>
        <s v="PAT5865"/>
        <s v="PAT5866"/>
        <s v="PAT5867"/>
        <s v="PAT5868"/>
        <s v="PAT5869"/>
        <s v="PAT5870"/>
        <s v="PAT5871"/>
        <s v="PAT5872"/>
        <s v="PAT5873"/>
        <s v="PAT5874"/>
        <s v="PAT5875"/>
        <s v="PAT5876"/>
        <s v="PAT5877"/>
        <s v="PAT5878"/>
        <s v="PAT5879"/>
        <s v="PAT5880"/>
        <s v="PAT5881"/>
        <s v="PAT5882"/>
        <s v="PAT5883"/>
        <s v="PAT5884"/>
        <s v="PAT5885"/>
        <s v="PAT5886"/>
        <s v="PAT5887"/>
        <s v="PAT5888"/>
        <s v="PAT5889"/>
        <s v="PAT5890"/>
        <s v="PAT5891"/>
        <s v="PAT5892"/>
        <s v="PAT5893"/>
        <s v="PAT5894"/>
        <s v="PAT5895"/>
        <s v="PAT5896"/>
        <s v="PAT5897"/>
        <s v="PAT5898"/>
        <s v="PAT5899"/>
        <s v="PAT5900"/>
        <s v="PAT5901"/>
        <s v="PAT5902"/>
        <s v="PAT5903"/>
        <s v="PAT5904"/>
        <s v="PAT5905"/>
        <s v="PAT5906"/>
        <s v="PAT5907"/>
        <s v="PAT5908"/>
        <s v="PAT5909"/>
        <s v="PAT5910"/>
        <s v="PAT5911"/>
        <s v="PAT5912"/>
        <s v="PAT5913"/>
        <s v="PAT5914"/>
        <s v="PAT5915"/>
        <s v="PAT5916"/>
        <s v="PAT5917"/>
        <s v="PAT5918"/>
        <s v="PAT5919"/>
        <s v="PAT5920"/>
        <s v="PAT5921"/>
        <s v="PAT5922"/>
        <s v="PAT5923"/>
        <s v="PAT5924"/>
        <s v="PAT5925"/>
        <s v="PAT5926"/>
        <s v="PAT5927"/>
        <s v="PAT5928"/>
        <s v="PAT5929"/>
        <s v="PAT5930"/>
        <s v="PAT5931"/>
        <s v="PAT5932"/>
        <s v="PAT5933"/>
        <s v="PAT5934"/>
        <s v="PAT5935"/>
        <s v="PAT5936"/>
        <s v="PAT5937"/>
        <s v="PAT5938"/>
        <s v="PAT5939"/>
        <s v="PAT5940"/>
        <s v="PAT5941"/>
        <s v="PAT5942"/>
        <s v="PAT5943"/>
        <s v="PAT5944"/>
        <s v="PAT5945"/>
        <s v="PAT5946"/>
        <s v="PAT5947"/>
        <s v="PAT5948"/>
        <s v="PAT5949"/>
        <s v="PAT5950"/>
        <s v="PAT5951"/>
        <s v="PAT5952"/>
        <s v="PAT5953"/>
        <s v="PAT5954"/>
        <s v="PAT5955"/>
        <s v="PAT5956"/>
        <s v="PAT5957"/>
        <s v="PAT5958"/>
        <s v="PAT5959"/>
        <s v="PAT5960"/>
        <s v="PAT5961"/>
        <s v="PAT5962"/>
        <s v="PAT5963"/>
        <s v="PAT5964"/>
        <s v="PAT5965"/>
        <s v="PAT5966"/>
        <s v="PAT5967"/>
        <s v="PAT5968"/>
        <s v="PAT5969"/>
        <s v="PAT5970"/>
        <s v="PAT5971"/>
        <s v="PAT5972"/>
        <s v="PAT5973"/>
        <s v="PAT5974"/>
        <s v="PAT5975"/>
        <s v="PAT5976"/>
        <s v="PAT5977"/>
        <s v="PAT5978"/>
        <s v="PAT5979"/>
        <s v="PAT5980"/>
        <s v="PAT5981"/>
        <s v="PAT5982"/>
        <s v="PAT5983"/>
        <s v="PAT5984"/>
        <s v="PAT5985"/>
        <s v="PAT5986"/>
        <s v="PAT5987"/>
        <s v="PAT5988"/>
        <s v="PAT5989"/>
        <s v="PAT5990"/>
        <s v="PAT5991"/>
        <s v="PAT5992"/>
        <s v="PAT5993"/>
        <s v="PAT5994"/>
        <s v="PAT5995"/>
        <s v="PAT5996"/>
        <s v="PAT5997"/>
        <s v="PAT5998"/>
        <s v="PAT5999"/>
      </sharedItems>
    </cacheField>
    <cacheField name="Age" numFmtId="0">
      <sharedItems containsSemiMixedTypes="0" containsString="0" containsNumber="1" containsInteger="1" minValue="1" maxValue="89" count="89">
        <n v="52"/>
        <n v="15"/>
        <n v="72"/>
        <n v="61"/>
        <n v="21"/>
        <n v="83"/>
        <n v="87"/>
        <n v="75"/>
        <n v="88"/>
        <n v="24"/>
        <n v="3"/>
        <n v="22"/>
        <n v="53"/>
        <n v="2"/>
        <n v="30"/>
        <n v="38"/>
        <n v="64"/>
        <n v="60"/>
        <n v="33"/>
        <n v="76"/>
        <n v="58"/>
        <n v="89"/>
        <n v="49"/>
        <n v="59"/>
        <n v="42"/>
        <n v="80"/>
        <n v="62"/>
        <n v="47"/>
        <n v="51"/>
        <n v="55"/>
        <n v="7"/>
        <n v="73"/>
        <n v="39"/>
        <n v="18"/>
        <n v="4"/>
        <n v="14"/>
        <n v="9"/>
        <n v="84"/>
        <n v="71"/>
        <n v="44"/>
        <n v="8"/>
        <n v="35"/>
        <n v="78"/>
        <n v="81"/>
        <n v="36"/>
        <n v="50"/>
        <n v="6"/>
        <n v="54"/>
        <n v="63"/>
        <n v="34"/>
        <n v="74"/>
        <n v="48"/>
        <n v="40"/>
        <n v="85"/>
        <n v="82"/>
        <n v="26"/>
        <n v="41"/>
        <n v="29"/>
        <n v="45"/>
        <n v="65"/>
        <n v="1"/>
        <n v="11"/>
        <n v="5"/>
        <n v="28"/>
        <n v="12"/>
        <n v="23"/>
        <n v="37"/>
        <n v="86"/>
        <n v="27"/>
        <n v="79"/>
        <n v="77"/>
        <n v="43"/>
        <n v="13"/>
        <n v="32"/>
        <n v="66"/>
        <n v="57"/>
        <n v="70"/>
        <n v="56"/>
        <n v="19"/>
        <n v="68"/>
        <n v="17"/>
        <n v="69"/>
        <n v="16"/>
        <n v="20"/>
        <n v="67"/>
        <n v="31"/>
        <n v="25"/>
        <n v="46"/>
        <n v="10"/>
      </sharedItems>
      <fieldGroup base="1">
        <rangePr autoStart="0" autoEnd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Department" numFmtId="0">
      <sharedItems count="6">
        <s v="Neurology"/>
        <s v="ICU"/>
        <s v="General Medicine"/>
        <s v="Emergency"/>
        <s v="Cardiology"/>
        <s v="Orthopedics"/>
      </sharedItems>
    </cacheField>
    <cacheField name="Admission Date" numFmtId="22">
      <sharedItems containsSemiMixedTypes="0" containsNonDate="0" containsDate="1" containsString="0" minDate="2023-01-01T00:00:00" maxDate="2024-12-06T00:00:00" count="470">
        <d v="2023-04-25T00:00:00"/>
        <d v="2023-01-26T00:00:00"/>
        <d v="2023-09-10T00:00:00"/>
        <d v="2023-08-09T00:00:00"/>
        <d v="2023-08-17T00:00:00"/>
        <d v="2023-05-23T00:00:00"/>
        <d v="2023-04-15T00:00:00"/>
        <d v="2023-03-31T00:00:00"/>
        <d v="2024-08-03T00:00:00"/>
        <d v="2023-02-02T00:00:00"/>
        <d v="2023-01-31T00:00:00"/>
        <d v="2023-06-04T00:00:00"/>
        <d v="2023-12-08T00:00:00"/>
        <d v="2023-08-27T00:00:00"/>
        <d v="2024-01-06T00:00:00"/>
        <d v="2023-01-28T00:00:00"/>
        <d v="2023-07-23T00:00:00"/>
        <d v="2024-05-03T00:00:00"/>
        <d v="2023-08-14T00:00:00"/>
        <d v="2024-04-04T00:00:00"/>
        <d v="2023-12-10T00:00:00"/>
        <d v="2023-07-01T00:00:00"/>
        <d v="2023-06-13T00:00:00"/>
        <d v="2023-12-15T00:00:00"/>
        <d v="2023-09-06T00:00:00"/>
        <d v="2023-09-08T00:00:00"/>
        <d v="2023-11-12T00:00:00"/>
        <d v="2023-05-04T00:00:00"/>
        <d v="2024-01-25T00:00:00"/>
        <d v="2023-10-04T00:00:00"/>
        <d v="2024-03-01T00:00:00"/>
        <d v="2023-12-19T00:00:00"/>
        <d v="2023-09-28T00:00:00"/>
        <d v="2023-02-14T00:00:00"/>
        <d v="2024-04-15T00:00:00"/>
        <d v="2023-08-05T00:00:00"/>
        <d v="2024-01-23T00:00:00"/>
        <d v="2023-03-22T00:00:00"/>
        <d v="2023-10-28T00:00:00"/>
        <d v="2024-06-01T00:00:00"/>
        <d v="2023-07-16T00:00:00"/>
        <d v="2023-03-13T00:00:00"/>
        <d v="2023-02-16T00:00:00"/>
        <d v="2023-08-22T00:00:00"/>
        <d v="2023-10-24T00:00:00"/>
        <d v="2023-03-23T00:00:00"/>
        <d v="2023-04-14T00:00:00"/>
        <d v="2024-09-04T00:00:00"/>
        <d v="2024-09-01T00:00:00"/>
        <d v="2023-06-16T00:00:00"/>
        <d v="2024-01-15T00:00:00"/>
        <d v="2023-12-30T00:00:00"/>
        <d v="2023-03-08T00:00:00"/>
        <d v="2023-01-10T00:00:00"/>
        <d v="2023-03-15T00:00:00"/>
        <d v="2023-06-25T00:00:00"/>
        <d v="2023-06-17T00:00:00"/>
        <d v="2024-04-18T00:00:00"/>
        <d v="2024-01-24T00:00:00"/>
        <d v="2023-04-10T00:00:00"/>
        <d v="2023-08-13T00:00:00"/>
        <d v="2023-11-29T00:00:00"/>
        <d v="2023-02-27T00:00:00"/>
        <d v="2023-08-23T00:00:00"/>
        <d v="2023-11-20T00:00:00"/>
        <d v="2024-02-15T00:00:00"/>
        <d v="2023-02-10T00:00:00"/>
        <d v="2023-09-03T00:00:00"/>
        <d v="2023-05-08T00:00:00"/>
        <d v="2023-11-19T00:00:00"/>
        <d v="2023-06-08T00:00:00"/>
        <d v="2024-05-26T00:00:00"/>
        <d v="2024-10-02T00:00:00"/>
        <d v="2024-04-14T00:00:00"/>
        <d v="2023-05-27T00:00:00"/>
        <d v="2023-09-29T00:00:00"/>
        <d v="2023-10-09T00:00:00"/>
        <d v="2023-09-27T00:00:00"/>
        <d v="2024-03-14T00:00:00"/>
        <d v="2024-02-13T00:00:00"/>
        <d v="2023-05-22T00:00:00"/>
        <d v="2024-05-06T00:00:00"/>
        <d v="2024-05-20T00:00:00"/>
        <d v="2023-04-04T00:00:00"/>
        <d v="2023-02-18T00:00:00"/>
        <d v="2023-04-23T00:00:00"/>
        <d v="2023-06-06T00:00:00"/>
        <d v="2023-07-03T00:00:00"/>
        <d v="2024-01-30T00:00:00"/>
        <d v="2024-01-26T00:00:00"/>
        <d v="2024-04-24T00:00:00"/>
        <d v="2023-09-15T00:00:00"/>
        <d v="2023-12-01T00:00:00"/>
        <d v="2023-04-28T00:00:00"/>
        <d v="2024-03-21T00:00:00"/>
        <d v="2023-11-06T00:00:00"/>
        <d v="2023-04-01T00:00:00"/>
        <d v="2024-05-27T00:00:00"/>
        <d v="2023-02-07T00:00:00"/>
        <d v="2024-03-06T00:00:00"/>
        <d v="2023-04-19T00:00:00"/>
        <d v="2023-02-11T00:00:00"/>
        <d v="2024-01-18T00:00:00"/>
        <d v="2023-06-15T00:00:00"/>
        <d v="2023-01-01T00:00:00"/>
        <d v="2023-11-28T00:00:00"/>
        <d v="2024-05-15T00:00:00"/>
        <d v="2023-01-20T00:00:00"/>
        <d v="2024-07-01T00:00:00"/>
        <d v="2023-11-11T00:00:00"/>
        <d v="2023-03-09T00:00:00"/>
        <d v="2023-01-03T00:00:00"/>
        <d v="2023-04-09T00:00:00"/>
        <d v="2023-03-29T00:00:00"/>
        <d v="2024-12-05T00:00:00"/>
        <d v="2023-12-03T00:00:00"/>
        <d v="2023-09-05T00:00:00"/>
        <d v="2023-12-05T00:00:00"/>
        <d v="2024-01-05T00:00:00"/>
        <d v="2023-06-19T00:00:00"/>
        <d v="2024-06-24T00:00:00"/>
        <d v="2024-09-03T00:00:00"/>
        <d v="2023-07-25T00:00:00"/>
        <d v="2023-11-16T00:00:00"/>
        <d v="2024-03-24T00:00:00"/>
        <d v="2024-06-13T00:00:00"/>
        <d v="2024-07-04T00:00:00"/>
        <d v="2023-04-05T00:00:00"/>
        <d v="2023-11-09T00:00:00"/>
        <d v="2023-08-19T00:00:00"/>
        <d v="2023-12-13T00:00:00"/>
        <d v="2023-01-22T00:00:00"/>
        <d v="2023-08-24T00:00:00"/>
        <d v="2023-08-01T00:00:00"/>
        <d v="2023-03-14T00:00:00"/>
        <d v="2023-02-03T00:00:00"/>
        <d v="2023-11-03T00:00:00"/>
        <d v="2023-05-12T00:00:00"/>
        <d v="2024-10-06T00:00:00"/>
        <d v="2023-01-09T00:00:00"/>
        <d v="2023-10-13T00:00:00"/>
        <d v="2023-08-08T00:00:00"/>
        <d v="2023-05-16T00:00:00"/>
        <d v="2024-04-29T00:00:00"/>
        <d v="2023-06-09T00:00:00"/>
        <d v="2024-02-21T00:00:00"/>
        <d v="2023-07-14T00:00:00"/>
        <d v="2023-07-04T00:00:00"/>
        <d v="2024-03-17T00:00:00"/>
        <d v="2023-12-29T00:00:00"/>
        <d v="2024-02-25T00:00:00"/>
        <d v="2024-04-23T00:00:00"/>
        <d v="2023-02-25T00:00:00"/>
        <d v="2023-11-04T00:00:00"/>
        <d v="2023-04-03T00:00:00"/>
        <d v="2024-02-17T00:00:00"/>
        <d v="2023-12-14T00:00:00"/>
        <d v="2023-04-22T00:00:00"/>
        <d v="2023-12-09T00:00:00"/>
        <d v="2023-05-24T00:00:00"/>
        <d v="2023-07-07T00:00:00"/>
        <d v="2023-09-13T00:00:00"/>
        <d v="2023-03-19T00:00:00"/>
        <d v="2024-03-29T00:00:00"/>
        <d v="2023-02-21T00:00:00"/>
        <d v="2023-01-16T00:00:00"/>
        <d v="2023-08-31T00:00:00"/>
        <d v="2023-06-20T00:00:00"/>
        <d v="2024-07-05T00:00:00"/>
        <d v="2023-07-08T00:00:00"/>
        <d v="2023-06-18T00:00:00"/>
        <d v="2023-03-01T00:00:00"/>
        <d v="2024-04-02T00:00:00"/>
        <d v="2024-10-04T00:00:00"/>
        <d v="2023-10-20T00:00:00"/>
        <d v="2024-05-13T00:00:00"/>
        <d v="2023-08-06T00:00:00"/>
        <d v="2023-10-31T00:00:00"/>
        <d v="2023-11-08T00:00:00"/>
        <d v="2023-11-18T00:00:00"/>
        <d v="2023-02-28T00:00:00"/>
        <d v="2024-03-05T00:00:00"/>
        <d v="2024-05-29T00:00:00"/>
        <d v="2024-04-06T00:00:00"/>
        <d v="2023-03-24T00:00:00"/>
        <d v="2023-10-07T00:00:00"/>
        <d v="2023-08-29T00:00:00"/>
        <d v="2024-02-18T00:00:00"/>
        <d v="2023-03-05T00:00:00"/>
        <d v="2023-10-02T00:00:00"/>
        <d v="2023-03-25T00:00:00"/>
        <d v="2024-06-19T00:00:00"/>
        <d v="2023-09-25T00:00:00"/>
        <d v="2023-07-29T00:00:00"/>
        <d v="2023-02-09T00:00:00"/>
        <d v="2023-05-15T00:00:00"/>
        <d v="2023-04-11T00:00:00"/>
        <d v="2024-04-13T00:00:00"/>
        <d v="2023-03-16T00:00:00"/>
        <d v="2023-10-01T00:00:00"/>
        <d v="2023-04-13T00:00:00"/>
        <d v="2023-03-17T00:00:00"/>
        <d v="2024-02-06T00:00:00"/>
        <d v="2023-12-24T00:00:00"/>
        <d v="2024-01-14T00:00:00"/>
        <d v="2023-10-19T00:00:00"/>
        <d v="2023-06-11T00:00:00"/>
        <d v="2023-09-01T00:00:00"/>
        <d v="2023-03-11T00:00:00"/>
        <d v="2023-04-17T00:00:00"/>
        <d v="2023-05-18T00:00:00"/>
        <d v="2023-04-29T00:00:00"/>
        <d v="2023-04-20T00:00:00"/>
        <d v="2023-06-10T00:00:00"/>
        <d v="2023-10-16T00:00:00"/>
        <d v="2023-04-08T00:00:00"/>
        <d v="2023-12-18T00:00:00"/>
        <d v="2023-07-28T00:00:00"/>
        <d v="2023-02-22T00:00:00"/>
        <d v="2023-11-10T00:00:00"/>
        <d v="2023-02-15T00:00:00"/>
        <d v="2023-08-12T00:00:00"/>
        <d v="2023-05-14T00:00:00"/>
        <d v="2023-09-26T00:00:00"/>
        <d v="2024-03-28T00:00:00"/>
        <d v="2024-03-13T00:00:00"/>
        <d v="2023-02-06T00:00:00"/>
        <d v="2023-06-02T00:00:00"/>
        <d v="2023-01-06T00:00:00"/>
        <d v="2024-03-16T00:00:00"/>
        <d v="2023-11-05T00:00:00"/>
        <d v="2023-12-02T00:00:00"/>
        <d v="2023-12-11T00:00:00"/>
        <d v="2024-02-01T00:00:00"/>
        <d v="2023-04-16T00:00:00"/>
        <d v="2023-01-07T00:00:00"/>
        <d v="2024-02-27T00:00:00"/>
        <d v="2023-03-07T00:00:00"/>
        <d v="2023-07-12T00:00:00"/>
        <d v="2024-02-26T00:00:00"/>
        <d v="2023-04-21T00:00:00"/>
        <d v="2024-01-27T00:00:00"/>
        <d v="2023-09-02T00:00:00"/>
        <d v="2024-04-26T00:00:00"/>
        <d v="2023-08-16T00:00:00"/>
        <d v="2023-07-24T00:00:00"/>
        <d v="2024-04-16T00:00:00"/>
        <d v="2023-12-25T00:00:00"/>
        <d v="2023-09-11T00:00:00"/>
        <d v="2023-01-25T00:00:00"/>
        <d v="2023-07-17T00:00:00"/>
        <d v="2023-03-12T00:00:00"/>
        <d v="2023-12-26T00:00:00"/>
        <d v="2024-02-14T00:00:00"/>
        <d v="2023-06-12T00:00:00"/>
        <d v="2023-01-29T00:00:00"/>
        <d v="2024-03-20T00:00:00"/>
        <d v="2023-12-20T00:00:00"/>
        <d v="2024-03-22T00:00:00"/>
        <d v="2024-07-06T00:00:00"/>
        <d v="2023-09-18T00:00:00"/>
        <d v="2023-02-01T00:00:00"/>
        <d v="2024-06-16T00:00:00"/>
        <d v="2023-07-21T00:00:00"/>
        <d v="2024-08-01T00:00:00"/>
        <d v="2023-11-13T00:00:00"/>
        <d v="2024-02-23T00:00:00"/>
        <d v="2023-01-12T00:00:00"/>
        <d v="2023-10-30T00:00:00"/>
        <d v="2024-06-03T00:00:00"/>
        <d v="2023-06-28T00:00:00"/>
        <d v="2023-05-11T00:00:00"/>
        <d v="2024-02-20T00:00:00"/>
        <d v="2023-08-11T00:00:00"/>
        <d v="2023-10-21T00:00:00"/>
        <d v="2023-11-26T00:00:00"/>
        <d v="2024-04-21T00:00:00"/>
        <d v="2023-06-23T00:00:00"/>
        <d v="2023-03-28T00:00:00"/>
        <d v="2023-10-18T00:00:00"/>
        <d v="2024-11-06T00:00:00"/>
        <d v="2023-10-12T00:00:00"/>
        <d v="2023-11-14T00:00:00"/>
        <d v="2023-05-31T00:00:00"/>
        <d v="2023-02-17T00:00:00"/>
        <d v="2024-11-04T00:00:00"/>
        <d v="2024-02-29T00:00:00"/>
        <d v="2023-07-19T00:00:00"/>
        <d v="2024-01-29T00:00:00"/>
        <d v="2024-05-21T00:00:00"/>
        <d v="2023-07-09T00:00:00"/>
        <d v="2023-06-01T00:00:00"/>
        <d v="2024-11-03T00:00:00"/>
        <d v="2023-06-30T00:00:00"/>
        <d v="2024-06-14T00:00:00"/>
        <d v="2024-04-20T00:00:00"/>
        <d v="2023-05-05T00:00:00"/>
        <d v="2024-12-04T00:00:00"/>
        <d v="2023-05-17T00:00:00"/>
        <d v="2023-11-21T00:00:00"/>
        <d v="2024-05-31T00:00:00"/>
        <d v="2024-12-03T00:00:00"/>
        <d v="2024-01-04T00:00:00"/>
        <d v="2023-12-06T00:00:00"/>
        <d v="2024-05-04T00:00:00"/>
        <d v="2023-09-23T00:00:00"/>
        <d v="2024-06-17T00:00:00"/>
        <d v="2024-11-05T00:00:00"/>
        <d v="2024-03-26T00:00:00"/>
        <d v="2023-03-21T00:00:00"/>
        <d v="2023-11-24T00:00:00"/>
        <d v="2023-04-06T00:00:00"/>
        <d v="2023-08-25T00:00:00"/>
        <d v="2024-01-28T00:00:00"/>
        <d v="2024-02-22T00:00:00"/>
        <d v="2024-04-22T00:00:00"/>
        <d v="2024-01-03T00:00:00"/>
        <d v="2023-05-03T00:00:00"/>
        <d v="2023-07-31T00:00:00"/>
        <d v="2024-03-02T00:00:00"/>
        <d v="2023-01-21T00:00:00"/>
        <d v="2023-12-27T00:00:00"/>
        <d v="2024-05-14T00:00:00"/>
        <d v="2023-07-10T00:00:00"/>
        <d v="2023-01-30T00:00:00"/>
        <d v="2024-02-19T00:00:00"/>
        <d v="2024-08-02T00:00:00"/>
        <d v="2023-03-27T00:00:00"/>
        <d v="2023-05-19T00:00:00"/>
        <d v="2024-04-17T00:00:00"/>
        <d v="2023-06-07T00:00:00"/>
        <d v="2023-09-24T00:00:00"/>
        <d v="2023-02-12T00:00:00"/>
        <d v="2023-12-12T00:00:00"/>
        <d v="2024-07-03T00:00:00"/>
        <d v="2023-09-16T00:00:00"/>
        <d v="2023-02-23T00:00:00"/>
        <d v="2023-08-18T00:00:00"/>
        <d v="2023-11-02T00:00:00"/>
        <d v="2023-01-02T00:00:00"/>
        <d v="2023-10-05T00:00:00"/>
        <d v="2023-09-20T00:00:00"/>
        <d v="2024-01-13T00:00:00"/>
        <d v="2023-06-21T00:00:00"/>
        <d v="2023-11-15T00:00:00"/>
        <d v="2023-01-27T00:00:00"/>
        <d v="2024-01-20T00:00:00"/>
        <d v="2024-11-02T00:00:00"/>
        <d v="2023-12-22T00:00:00"/>
        <d v="2023-12-16T00:00:00"/>
        <d v="2023-01-13T00:00:00"/>
        <d v="2024-05-16T00:00:00"/>
        <d v="2024-03-19T00:00:00"/>
        <d v="2024-06-18T00:00:00"/>
        <d v="2024-10-05T00:00:00"/>
        <d v="2023-11-27T00:00:00"/>
        <d v="2023-09-09T00:00:00"/>
        <d v="2023-03-30T00:00:00"/>
        <d v="2024-06-04T00:00:00"/>
        <d v="2023-09-22T00:00:00"/>
        <d v="2023-10-14T00:00:00"/>
        <d v="2023-10-10T00:00:00"/>
        <d v="2023-11-01T00:00:00"/>
        <d v="2023-07-15T00:00:00"/>
        <d v="2023-05-09T00:00:00"/>
        <d v="2024-02-05T00:00:00"/>
        <d v="2024-05-17T00:00:00"/>
        <d v="2024-03-04T00:00:00"/>
        <d v="2023-01-18T00:00:00"/>
        <d v="2023-10-29T00:00:00"/>
        <d v="2023-08-15T00:00:00"/>
        <d v="2023-10-11T00:00:00"/>
        <d v="2023-05-10T00:00:00"/>
        <d v="2023-09-07T00:00:00"/>
        <d v="2023-10-08T00:00:00"/>
        <d v="2024-06-21T00:00:00"/>
        <d v="2023-10-17T00:00:00"/>
        <d v="2023-07-18T00:00:00"/>
        <d v="2023-08-21T00:00:00"/>
        <d v="2024-05-01T00:00:00"/>
        <d v="2023-01-15T00:00:00"/>
        <d v="2023-08-10T00:00:00"/>
        <d v="2023-10-27T00:00:00"/>
        <d v="2024-04-25T00:00:00"/>
        <d v="2024-05-05T00:00:00"/>
        <d v="2024-03-27T00:00:00"/>
        <d v="2023-08-07T00:00:00"/>
        <d v="2024-04-05T00:00:00"/>
        <d v="2023-04-27T00:00:00"/>
        <d v="2023-08-03T00:00:00"/>
        <d v="2024-05-18T00:00:00"/>
        <d v="2023-02-24T00:00:00"/>
        <d v="2023-05-06T00:00:00"/>
        <d v="2023-02-05T00:00:00"/>
        <d v="2024-02-03T00:00:00"/>
        <d v="2023-08-20T00:00:00"/>
        <d v="2023-01-11T00:00:00"/>
        <d v="2024-03-15T00:00:00"/>
        <d v="2023-03-03T00:00:00"/>
        <d v="2023-12-04T00:00:00"/>
        <d v="2023-01-08T00:00:00"/>
        <d v="2023-10-06T00:00:00"/>
        <d v="2023-06-27T00:00:00"/>
        <d v="2023-03-18T00:00:00"/>
        <d v="2023-10-26T00:00:00"/>
        <d v="2023-03-02T00:00:00"/>
        <d v="2023-08-26T00:00:00"/>
        <d v="2023-10-23T00:00:00"/>
        <d v="2023-08-28T00:00:00"/>
        <d v="2023-07-22T00:00:00"/>
        <d v="2023-09-30T00:00:00"/>
        <d v="2023-05-26T00:00:00"/>
        <d v="2024-03-25T00:00:00"/>
        <d v="2024-03-18T00:00:00"/>
        <d v="2023-09-14T00:00:00"/>
        <d v="2023-03-10T00:00:00"/>
        <d v="2023-06-29T00:00:00"/>
        <d v="2024-06-15T00:00:00"/>
        <d v="2023-05-07T00:00:00"/>
        <d v="2023-12-23T00:00:00"/>
        <d v="2023-11-25T00:00:00"/>
        <d v="2023-04-18T00:00:00"/>
        <d v="2023-06-14T00:00:00"/>
        <d v="2023-04-12T00:00:00"/>
        <d v="2024-05-22T00:00:00"/>
        <d v="2023-07-02T00:00:00"/>
        <d v="2023-01-04T00:00:00"/>
        <d v="2024-02-28T00:00:00"/>
        <d v="2023-12-07T00:00:00"/>
        <d v="2024-05-25T00:00:00"/>
        <d v="2023-10-22T00:00:00"/>
        <d v="2023-01-05T00:00:00"/>
        <d v="2023-07-06T00:00:00"/>
        <d v="2024-09-05T00:00:00"/>
        <d v="2024-04-28T00:00:00"/>
        <d v="2023-05-29T00:00:00"/>
        <d v="2023-05-20T00:00:00"/>
        <d v="2024-02-04T00:00:00"/>
        <d v="2024-01-22T00:00:00"/>
        <d v="2023-07-13T00:00:00"/>
        <d v="2023-11-22T00:00:00"/>
        <d v="2024-01-31T00:00:00"/>
        <d v="2024-06-22T00:00:00"/>
        <d v="2023-05-28T00:00:00"/>
        <d v="2024-02-24T00:00:00"/>
        <d v="2024-12-02T00:00:00"/>
        <d v="2023-03-04T00:00:00"/>
        <d v="2024-03-30T00:00:00"/>
        <d v="2024-01-19T00:00:00"/>
        <d v="2023-05-30T00:00:00"/>
        <d v="2023-04-07T00:00:00"/>
        <d v="2023-06-24T00:00:00"/>
        <d v="2024-05-24T00:00:00"/>
        <d v="2023-09-19T00:00:00"/>
        <d v="2024-10-03T00:00:00"/>
        <d v="2023-01-23T00:00:00"/>
        <d v="2023-02-20T00:00:00"/>
        <d v="2024-05-23T00:00:00"/>
        <d v="2023-05-21T00:00:00"/>
        <d v="2023-04-02T00:00:00"/>
        <d v="2024-10-01T00:00:00"/>
        <d v="2024-05-28T00:00:00"/>
        <d v="2023-09-21T00:00:00"/>
        <d v="2024-08-05T00:00:00"/>
        <d v="2023-05-25T00:00:00"/>
        <d v="2024-09-02T00:00:00"/>
        <d v="2023-07-05T00:00:00"/>
        <d v="2024-01-16T00:00:00"/>
        <d v="2024-04-27T00:00:00"/>
        <d v="2023-06-03T00:00:00"/>
      </sharedItems>
      <fieldGroup par="24"/>
    </cacheField>
    <cacheField name="Discharge Date" numFmtId="22">
      <sharedItems containsSemiMixedTypes="0" containsNonDate="0" containsDate="1" containsString="0" minDate="2023-01-02T00:00:00" maxDate="2024-12-07T00:00:00"/>
    </cacheField>
    <cacheField name="Stay Duration (days)" numFmtId="0">
      <sharedItems containsSemiMixedTypes="0" containsString="0" containsNumber="1" containsInteger="1" minValue="1" maxValue="15" count="15">
        <n v="11"/>
        <n v="7"/>
        <n v="2"/>
        <n v="3"/>
        <n v="1"/>
        <n v="5"/>
        <n v="8"/>
        <n v="4"/>
        <n v="15"/>
        <n v="9"/>
        <n v="6"/>
        <n v="12"/>
        <n v="10"/>
        <n v="14"/>
        <n v="13"/>
      </sharedItems>
    </cacheField>
    <cacheField name="Disease/Condition" numFmtId="0">
      <sharedItems count="6">
        <s v="Heart Disease"/>
        <s v="Fracture"/>
        <s v="Hypertension"/>
        <s v="Diabetes"/>
        <s v="Flu"/>
        <s v="Migraine"/>
      </sharedItems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/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 count="5">
        <s v="MedC"/>
        <s v="MedE"/>
        <s v="MedA"/>
        <s v="MedD"/>
        <s v="MedB"/>
      </sharedItems>
    </cacheField>
    <cacheField name="Has Insurance" numFmtId="0">
      <sharedItems count="2">
        <s v="No"/>
        <s v="Yes"/>
      </sharedItems>
    </cacheField>
    <cacheField name="Case Type" numFmtId="0">
      <sharedItems count="2">
        <s v="Routine"/>
        <s v="Emergency"/>
      </sharedItems>
    </cacheField>
    <cacheField name="Appointment Date" numFmtId="22">
      <sharedItems containsSemiMixedTypes="0" containsNonDate="0" containsDate="1" containsString="0" minDate="2022-12-28T00:00:00" maxDate="2024-12-06T00:00:00"/>
    </cacheField>
    <cacheField name="Consultation Date" numFmtId="22">
      <sharedItems containsSemiMixedTypes="0" containsNonDate="0" containsDate="1" containsString="0" minDate="2022-12-28T17:00:00" maxDate="2024-12-06T21:00:00"/>
    </cacheField>
    <cacheField name="Test Type" numFmtId="0">
      <sharedItems/>
    </cacheField>
    <cacheField name="Test Result" numFmtId="0">
      <sharedItems/>
    </cacheField>
    <cacheField name="Shift" numFmtId="0">
      <sharedItems/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  <cacheField name="Month-year " numFmtId="0">
      <sharedItems count="24">
        <s v="Apr-2023"/>
        <s v="Jan-2023"/>
        <s v="Sep-2023"/>
        <s v="Aug-2023"/>
        <s v="May-2023"/>
        <s v="Mar-2023"/>
        <s v="Aug-2024"/>
        <s v="Feb-2023"/>
        <s v="Jun-2023"/>
        <s v="Dec-2023"/>
        <s v="Jan-2024"/>
        <s v="Jul-2023"/>
        <s v="May-2024"/>
        <s v="Apr-2024"/>
        <s v="Nov-2023"/>
        <s v="Oct-2023"/>
        <s v="Mar-2024"/>
        <s v="Jun-2024"/>
        <s v="Sep-2024"/>
        <s v="Feb-2024"/>
        <s v="Oct-2024"/>
        <s v="Jul-2024"/>
        <s v="Dec-2024"/>
        <s v="Nov-2024"/>
      </sharedItems>
    </cacheField>
    <cacheField name="Months (Admission Date)" numFmtId="0" databaseField="0">
      <fieldGroup base="3">
        <rangePr groupBy="months" startDate="2023-01-01T00:00:00" endDate="2024-12-06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6/2024"/>
        </groupItems>
      </fieldGroup>
    </cacheField>
    <cacheField name="Quarters (Admission Date)" numFmtId="0" databaseField="0">
      <fieldGroup base="3">
        <rangePr groupBy="quarters" startDate="2023-01-01T00:00:00" endDate="2024-12-06T00:00:00"/>
        <groupItems count="6">
          <s v="&lt;1/1/2023"/>
          <s v="Qtr1"/>
          <s v="Qtr2"/>
          <s v="Qtr3"/>
          <s v="Qtr4"/>
          <s v="&gt;12/6/2024"/>
        </groupItems>
      </fieldGroup>
    </cacheField>
    <cacheField name="Years (Admission Date)" numFmtId="0" databaseField="0">
      <fieldGroup base="3">
        <rangePr groupBy="years" startDate="2023-01-01T00:00:00" endDate="2024-12-06T00:00:00"/>
        <groupItems count="4">
          <s v="&lt;1/1/2023"/>
          <s v="2023"/>
          <s v="2024"/>
          <s v="&gt;12/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endrasinh Vaghela" refreshedDate="46054.691812962963" backgroundQuery="1" createdVersion="8" refreshedVersion="8" minRefreshableVersion="3" recordCount="0" supportSubquery="1" supportAdvancedDrill="1" xr:uid="{FD2D3B7D-4DB7-466E-8CE0-FAD265152250}">
  <cacheSource type="external" connectionId="3"/>
  <cacheFields count="3">
    <cacheField name="[Table1].[Department].[Department]" caption="Department" numFmtId="0" hierarchy="2" level="1">
      <sharedItems count="6">
        <s v="Cardiology"/>
        <s v="Emergency"/>
        <s v="General Medicine"/>
        <s v="ICU"/>
        <s v="Neurology"/>
        <s v="Orthopedics"/>
      </sharedItems>
    </cacheField>
    <cacheField name="[Measures].[Count of Patient ID]" caption="Count of Patient ID" numFmtId="0" hierarchy="24" level="32767"/>
    <cacheField name="[Measures].[Distinct Count of Doctor]" caption="Distinct Count of Doctor" numFmtId="0" hierarchy="26" level="32767"/>
  </cacheFields>
  <cacheHierarchies count="27">
    <cacheHierarchy uniqueName="[Table1].[Patient ID]" caption="Patient ID" attribute="1" defaultMemberUniqueName="[Table1].[Patient ID].[All]" allUniqueName="[Table1].[Patient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dmission Date]" caption="Admission Date" attribute="1" time="1" defaultMemberUniqueName="[Table1].[Admission Date].[All]" allUniqueName="[Table1].[Admission Date].[All]" dimensionUniqueName="[Table1]" displayFolder="" count="0" memberValueDatatype="7" unbalanced="0"/>
    <cacheHierarchy uniqueName="[Table1].[Discharge Date]" caption="Discharge Date" attribute="1" time="1" defaultMemberUniqueName="[Table1].[Discharge Date].[All]" allUniqueName="[Table1].[Discharge Date].[All]" dimensionUniqueName="[Table1]" displayFolder="" count="0" memberValueDatatype="7" unbalanced="0"/>
    <cacheHierarchy uniqueName="[Table1].[Stay Duration (days)]" caption="Stay Duration (days)" attribute="1" defaultMemberUniqueName="[Table1].[Stay Duration (days)].[All]" allUniqueName="[Table1].[Stay Duration (days)].[All]" dimensionUniqueName="[Table1]" displayFolder="" count="0" memberValueDatatype="20" unbalanced="0"/>
    <cacheHierarchy uniqueName="[Table1].[Disease/Condition]" caption="Disease/Condition" attribute="1" defaultMemberUniqueName="[Table1].[Disease/Condition].[All]" allUniqueName="[Table1].[Disease/Condition].[All]" dimensionUniqueName="[Table1]" displayFolder="" count="0" memberValueDatatype="130" unbalanced="0"/>
    <cacheHierarchy uniqueName="[Table1].[Satisfaction Score]" caption="Satisfaction Score" attribute="1" defaultMemberUniqueName="[Table1].[Satisfaction Score].[All]" allUniqueName="[Table1].[Satisfaction Score].[All]" dimensionUniqueName="[Table1]" displayFolder="" count="0" memberValueDatatype="20" unbalanced="0"/>
    <cacheHierarchy uniqueName="[Table1].[Doctor]" caption="Doctor" attribute="1" defaultMemberUniqueName="[Table1].[Doctor].[All]" allUniqueName="[Table1].[Doctor].[All]" dimensionUniqueName="[Table1]" displayFolder="" count="0" memberValueDatatype="130" unbalanced="0"/>
    <cacheHierarchy uniqueName="[Table1].[Treatment Cost]" caption="Treatment Cost" attribute="1" defaultMemberUniqueName="[Table1].[Treatment Cost].[All]" allUniqueName="[Table1].[Treatment Cost].[All]" dimensionUniqueName="[Table1]" displayFolder="" count="0" memberValueDatatype="20" unbalanced="0"/>
    <cacheHierarchy uniqueName="[Table1].[Medication]" caption="Medication" attribute="1" defaultMemberUniqueName="[Table1].[Medication].[All]" allUniqueName="[Table1].[Medication].[All]" dimensionUniqueName="[Table1]" displayFolder="" count="0" memberValueDatatype="130" unbalanced="0"/>
    <cacheHierarchy uniqueName="[Table1].[Has Insurance]" caption="Has Insurance" attribute="1" defaultMemberUniqueName="[Table1].[Has Insurance].[All]" allUniqueName="[Table1].[Has Insurance].[All]" dimensionUniqueName="[Table1]" displayFolder="" count="0" memberValueDatatype="130" unbalanced="0"/>
    <cacheHierarchy uniqueName="[Table1].[Case Type]" caption="Case Type" attribute="1" defaultMemberUniqueName="[Table1].[Case Type].[All]" allUniqueName="[Table1].[Case Type].[All]" dimensionUniqueName="[Table1]" displayFolder="" count="0" memberValueDatatype="130" unbalanced="0"/>
    <cacheHierarchy uniqueName="[Table1].[Appointment Date]" caption="Appointment Date" attribute="1" time="1" defaultMemberUniqueName="[Table1].[Appointment Date].[All]" allUniqueName="[Table1].[Appointment Date].[All]" dimensionUniqueName="[Table1]" displayFolder="" count="0" memberValueDatatype="7" unbalanced="0"/>
    <cacheHierarchy uniqueName="[Table1].[Consultation Date]" caption="Consultation Date" attribute="1" time="1" defaultMemberUniqueName="[Table1].[Consultation Date].[All]" allUniqueName="[Table1].[Consultation Date].[All]" dimensionUniqueName="[Table1]" displayFolder="" count="0" memberValueDatatype="7" unbalanced="0"/>
    <cacheHierarchy uniqueName="[Table1].[Test Type]" caption="Test Type" attribute="1" defaultMemberUniqueName="[Table1].[Test Type].[All]" allUniqueName="[Table1].[Test Type].[All]" dimensionUniqueName="[Table1]" displayFolder="" count="0" memberValueDatatype="130" unbalanced="0"/>
    <cacheHierarchy uniqueName="[Table1].[Test Result]" caption="Test Result" attribute="1" defaultMemberUniqueName="[Table1].[Test Result].[All]" allUniqueName="[Table1].[Test Result].[All]" dimensionUniqueName="[Table1]" displayFolder="" count="0" memberValueDatatype="130" unbalanced="0"/>
    <cacheHierarchy uniqueName="[Table1].[Shift]" caption="Shift" attribute="1" defaultMemberUniqueName="[Table1].[Shift].[All]" allUniqueName="[Table1].[Shift].[All]" dimensionUniqueName="[Table1]" displayFolder="" count="0" memberValueDatatype="130" unbalanced="0"/>
    <cacheHierarchy uniqueName="[Table1].[Staff Hours Worked]" caption="Staff Hours Worked" attribute="1" defaultMemberUniqueName="[Table1].[Staff Hours Worked].[All]" allUniqueName="[Table1].[Staff Hours Worked].[All]" dimensionUniqueName="[Table1]" displayFolder="" count="0" memberValueDatatype="20" unbalanced="0"/>
    <cacheHierarchy uniqueName="[Table1].[Staff Available Hours]" caption="Staff Available Hours" attribute="1" defaultMemberUniqueName="[Table1].[Staff Available Hours].[All]" allUniqueName="[Table1].[Staff Available Hours].[All]" dimensionUniqueName="[Table1]" displayFolder="" count="0" memberValueDatatype="20" unbalanced="0"/>
    <cacheHierarchy uniqueName="[Table1].[Treatment Plan]" caption="Treatment Plan" attribute="1" defaultMemberUniqueName="[Table1].[Treatment Plan].[All]" allUniqueName="[Table1].[Treatment Plan].[All]" dimensionUniqueName="[Table1]" displayFolder="" count="0" memberValueDatatype="130" unbalanced="0"/>
    <cacheHierarchy uniqueName="[Table1].[Month-year]" caption="Month-year" attribute="1" defaultMemberUniqueName="[Table1].[Month-year].[All]" allUniqueName="[Table1].[Month-year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octor]" caption="Count of Doctor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Doctor]" caption="Distinct Count of Doctor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endrasinh Vaghela" refreshedDate="46062.706831249998" backgroundQuery="1" createdVersion="8" refreshedVersion="8" minRefreshableVersion="3" recordCount="0" supportSubquery="1" supportAdvancedDrill="1" xr:uid="{086C8ED4-9D79-4D25-9D58-C7175CEEEF34}">
  <cacheSource type="external" connectionId="3"/>
  <cacheFields count="3">
    <cacheField name="[Table1].[Test Type].[Test Type]" caption="Test Type" numFmtId="0" hierarchy="15" level="1">
      <sharedItems count="5">
        <s v="Blood Test"/>
        <s v="CT Scan"/>
        <s v="MRI"/>
        <s v="Ultrasound"/>
        <s v="X-Ray"/>
      </sharedItems>
    </cacheField>
    <cacheField name="[Table1].[Test Result].[Test Result]" caption="Test Result" numFmtId="0" hierarchy="16" level="1">
      <sharedItems count="2">
        <s v="Accepted"/>
        <s v="Rejected"/>
      </sharedItems>
    </cacheField>
    <cacheField name="[Measures].[Count of Patient ID]" caption="Count of Patient ID" numFmtId="0" hierarchy="24" level="32767"/>
  </cacheFields>
  <cacheHierarchies count="27">
    <cacheHierarchy uniqueName="[Table1].[Patient ID]" caption="Patient ID" attribute="1" defaultMemberUniqueName="[Table1].[Patient ID].[All]" allUniqueName="[Table1].[Patient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/>
    <cacheHierarchy uniqueName="[Table1].[Admission Date]" caption="Admission Date" attribute="1" time="1" defaultMemberUniqueName="[Table1].[Admission Date].[All]" allUniqueName="[Table1].[Admission Date].[All]" dimensionUniqueName="[Table1]" displayFolder="" count="0" memberValueDatatype="7" unbalanced="0"/>
    <cacheHierarchy uniqueName="[Table1].[Discharge Date]" caption="Discharge Date" attribute="1" time="1" defaultMemberUniqueName="[Table1].[Discharge Date].[All]" allUniqueName="[Table1].[Discharge Date].[All]" dimensionUniqueName="[Table1]" displayFolder="" count="0" memberValueDatatype="7" unbalanced="0"/>
    <cacheHierarchy uniqueName="[Table1].[Stay Duration (days)]" caption="Stay Duration (days)" attribute="1" defaultMemberUniqueName="[Table1].[Stay Duration (days)].[All]" allUniqueName="[Table1].[Stay Duration (days)].[All]" dimensionUniqueName="[Table1]" displayFolder="" count="0" memberValueDatatype="20" unbalanced="0"/>
    <cacheHierarchy uniqueName="[Table1].[Disease/Condition]" caption="Disease/Condition" attribute="1" defaultMemberUniqueName="[Table1].[Disease/Condition].[All]" allUniqueName="[Table1].[Disease/Condition].[All]" dimensionUniqueName="[Table1]" displayFolder="" count="0" memberValueDatatype="130" unbalanced="0"/>
    <cacheHierarchy uniqueName="[Table1].[Satisfaction Score]" caption="Satisfaction Score" attribute="1" defaultMemberUniqueName="[Table1].[Satisfaction Score].[All]" allUniqueName="[Table1].[Satisfaction Score].[All]" dimensionUniqueName="[Table1]" displayFolder="" count="0" memberValueDatatype="20" unbalanced="0"/>
    <cacheHierarchy uniqueName="[Table1].[Doctor]" caption="Doctor" attribute="1" defaultMemberUniqueName="[Table1].[Doctor].[All]" allUniqueName="[Table1].[Doctor].[All]" dimensionUniqueName="[Table1]" displayFolder="" count="0" memberValueDatatype="130" unbalanced="0"/>
    <cacheHierarchy uniqueName="[Table1].[Treatment Cost]" caption="Treatment Cost" attribute="1" defaultMemberUniqueName="[Table1].[Treatment Cost].[All]" allUniqueName="[Table1].[Treatment Cost].[All]" dimensionUniqueName="[Table1]" displayFolder="" count="0" memberValueDatatype="20" unbalanced="0"/>
    <cacheHierarchy uniqueName="[Table1].[Medication]" caption="Medication" attribute="1" defaultMemberUniqueName="[Table1].[Medication].[All]" allUniqueName="[Table1].[Medication].[All]" dimensionUniqueName="[Table1]" displayFolder="" count="0" memberValueDatatype="130" unbalanced="0"/>
    <cacheHierarchy uniqueName="[Table1].[Has Insurance]" caption="Has Insurance" attribute="1" defaultMemberUniqueName="[Table1].[Has Insurance].[All]" allUniqueName="[Table1].[Has Insurance].[All]" dimensionUniqueName="[Table1]" displayFolder="" count="0" memberValueDatatype="130" unbalanced="0"/>
    <cacheHierarchy uniqueName="[Table1].[Case Type]" caption="Case Type" attribute="1" defaultMemberUniqueName="[Table1].[Case Type].[All]" allUniqueName="[Table1].[Case Type].[All]" dimensionUniqueName="[Table1]" displayFolder="" count="0" memberValueDatatype="130" unbalanced="0"/>
    <cacheHierarchy uniqueName="[Table1].[Appointment Date]" caption="Appointment Date" attribute="1" time="1" defaultMemberUniqueName="[Table1].[Appointment Date].[All]" allUniqueName="[Table1].[Appointment Date].[All]" dimensionUniqueName="[Table1]" displayFolder="" count="0" memberValueDatatype="7" unbalanced="0"/>
    <cacheHierarchy uniqueName="[Table1].[Consultation Date]" caption="Consultation Date" attribute="1" time="1" defaultMemberUniqueName="[Table1].[Consultation Date].[All]" allUniqueName="[Table1].[Consultation Date].[All]" dimensionUniqueName="[Table1]" displayFolder="" count="0" memberValueDatatype="7" unbalanced="0"/>
    <cacheHierarchy uniqueName="[Table1].[Test Type]" caption="Test Type" attribute="1" defaultMemberUniqueName="[Table1].[Test Type].[All]" allUniqueName="[Table1].[Test 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est Result]" caption="Test Result" attribute="1" defaultMemberUniqueName="[Table1].[Test Result].[All]" allUniqueName="[Table1].[Test Resul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hift]" caption="Shift" attribute="1" defaultMemberUniqueName="[Table1].[Shift].[All]" allUniqueName="[Table1].[Shift].[All]" dimensionUniqueName="[Table1]" displayFolder="" count="0" memberValueDatatype="130" unbalanced="0"/>
    <cacheHierarchy uniqueName="[Table1].[Staff Hours Worked]" caption="Staff Hours Worked" attribute="1" defaultMemberUniqueName="[Table1].[Staff Hours Worked].[All]" allUniqueName="[Table1].[Staff Hours Worked].[All]" dimensionUniqueName="[Table1]" displayFolder="" count="0" memberValueDatatype="20" unbalanced="0"/>
    <cacheHierarchy uniqueName="[Table1].[Staff Available Hours]" caption="Staff Available Hours" attribute="1" defaultMemberUniqueName="[Table1].[Staff Available Hours].[All]" allUniqueName="[Table1].[Staff Available Hours].[All]" dimensionUniqueName="[Table1]" displayFolder="" count="0" memberValueDatatype="20" unbalanced="0"/>
    <cacheHierarchy uniqueName="[Table1].[Treatment Plan]" caption="Treatment Plan" attribute="1" defaultMemberUniqueName="[Table1].[Treatment Plan].[All]" allUniqueName="[Table1].[Treatment Plan].[All]" dimensionUniqueName="[Table1]" displayFolder="" count="0" memberValueDatatype="130" unbalanced="0"/>
    <cacheHierarchy uniqueName="[Table1].[Month-year]" caption="Month-year" attribute="1" defaultMemberUniqueName="[Table1].[Month-year].[All]" allUniqueName="[Table1].[Month-year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octor]" caption="Count of Doctor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Doctor]" caption="Distinct Count of Doctor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d v="2023-06-05T00:00:00"/>
    <x v="0"/>
    <x v="0"/>
    <n v="3"/>
    <s v="Dr. Mehta"/>
    <n v="40901"/>
    <x v="0"/>
    <x v="0"/>
    <x v="0"/>
    <d v="2023-04-22T00:00:00"/>
    <d v="2023-04-22T12:00:00"/>
    <s v="X-Ray"/>
    <s v="Accepted"/>
    <s v="Afternoon"/>
    <n v="9"/>
    <n v="12"/>
    <s v="Plan B"/>
    <x v="0"/>
  </r>
  <r>
    <x v="1"/>
    <x v="1"/>
    <x v="1"/>
    <x v="1"/>
    <d v="2023-02-02T00:00:00"/>
    <x v="1"/>
    <x v="1"/>
    <n v="2"/>
    <s v="Dr. Sharma"/>
    <n v="49380"/>
    <x v="1"/>
    <x v="0"/>
    <x v="0"/>
    <d v="2023-01-22T00:00:00"/>
    <d v="2023-01-22T21:00:00"/>
    <s v="Blood Test"/>
    <s v="Rejected"/>
    <s v="Afternoon"/>
    <n v="9"/>
    <n v="10"/>
    <s v="Plan B"/>
    <x v="1"/>
  </r>
  <r>
    <x v="2"/>
    <x v="2"/>
    <x v="0"/>
    <x v="2"/>
    <d v="2023-11-10T00:00:00"/>
    <x v="2"/>
    <x v="2"/>
    <n v="5"/>
    <s v="Dr. Mehta"/>
    <n v="25493"/>
    <x v="0"/>
    <x v="0"/>
    <x v="1"/>
    <d v="2023-09-10T00:00:00"/>
    <d v="2023-09-10T02:00:00"/>
    <s v="CT Scan"/>
    <s v="Rejected"/>
    <s v="Morning"/>
    <n v="10"/>
    <n v="10"/>
    <s v="Plan B"/>
    <x v="2"/>
  </r>
  <r>
    <x v="3"/>
    <x v="3"/>
    <x v="2"/>
    <x v="3"/>
    <d v="2023-11-09T00:00:00"/>
    <x v="3"/>
    <x v="1"/>
    <n v="3"/>
    <s v="Dr. Gupta"/>
    <n v="23595"/>
    <x v="0"/>
    <x v="0"/>
    <x v="0"/>
    <d v="2023-04-09T00:00:00"/>
    <d v="2023-04-09T14:00:00"/>
    <s v="CT Scan"/>
    <s v="Accepted"/>
    <s v="Night"/>
    <n v="7"/>
    <n v="12"/>
    <s v="Plan C"/>
    <x v="3"/>
  </r>
  <r>
    <x v="4"/>
    <x v="4"/>
    <x v="3"/>
    <x v="4"/>
    <d v="2023-08-18T00:00:00"/>
    <x v="4"/>
    <x v="3"/>
    <n v="1"/>
    <s v="Dr. Gupta"/>
    <n v="26923"/>
    <x v="1"/>
    <x v="0"/>
    <x v="1"/>
    <d v="2023-08-16T00:00:00"/>
    <d v="2023-08-17T14:00:00"/>
    <s v="CT Scan"/>
    <s v="Accepted"/>
    <s v="Night"/>
    <n v="5"/>
    <n v="10"/>
    <s v="Plan B"/>
    <x v="3"/>
  </r>
  <r>
    <x v="5"/>
    <x v="5"/>
    <x v="4"/>
    <x v="5"/>
    <d v="2023-05-24T00:00:00"/>
    <x v="4"/>
    <x v="3"/>
    <n v="3"/>
    <s v="Dr. Mehta"/>
    <n v="14735"/>
    <x v="2"/>
    <x v="1"/>
    <x v="0"/>
    <d v="2023-05-18T00:00:00"/>
    <d v="2023-05-18T10:00:00"/>
    <s v="Ultrasound"/>
    <s v="Rejected"/>
    <s v="Morning"/>
    <n v="9"/>
    <n v="12"/>
    <s v="Plan C"/>
    <x v="4"/>
  </r>
  <r>
    <x v="6"/>
    <x v="6"/>
    <x v="4"/>
    <x v="6"/>
    <d v="2023-04-20T00:00:00"/>
    <x v="5"/>
    <x v="4"/>
    <n v="1"/>
    <s v="Dr. Sharma"/>
    <n v="39457"/>
    <x v="0"/>
    <x v="1"/>
    <x v="1"/>
    <d v="2023-12-04T00:00:00"/>
    <d v="2023-04-13T22:00:00"/>
    <s v="X-Ray"/>
    <s v="Accepted"/>
    <s v="Afternoon"/>
    <n v="10"/>
    <n v="8"/>
    <s v="Plan B"/>
    <x v="0"/>
  </r>
  <r>
    <x v="7"/>
    <x v="7"/>
    <x v="1"/>
    <x v="7"/>
    <d v="2023-08-04T00:00:00"/>
    <x v="6"/>
    <x v="3"/>
    <n v="5"/>
    <s v="Dr. Mehta"/>
    <n v="47531"/>
    <x v="0"/>
    <x v="1"/>
    <x v="1"/>
    <d v="2023-03-29T00:00:00"/>
    <d v="2023-03-30T02:00:00"/>
    <s v="Ultrasound"/>
    <s v="Accepted"/>
    <s v="Afternoon"/>
    <n v="4"/>
    <n v="8"/>
    <s v="Plan C"/>
    <x v="5"/>
  </r>
  <r>
    <x v="8"/>
    <x v="7"/>
    <x v="2"/>
    <x v="8"/>
    <d v="2024-10-03T00:00:00"/>
    <x v="2"/>
    <x v="1"/>
    <n v="5"/>
    <s v="Dr. Mehta"/>
    <n v="12727"/>
    <x v="3"/>
    <x v="1"/>
    <x v="0"/>
    <d v="2024-06-03T00:00:00"/>
    <d v="2024-06-03T05:00:00"/>
    <s v="Ultrasound"/>
    <s v="Accepted"/>
    <s v="Night"/>
    <n v="9"/>
    <n v="12"/>
    <s v="Plan C"/>
    <x v="6"/>
  </r>
  <r>
    <x v="9"/>
    <x v="8"/>
    <x v="5"/>
    <x v="9"/>
    <d v="2023-04-02T00:00:00"/>
    <x v="2"/>
    <x v="5"/>
    <n v="4"/>
    <s v="Dr. Mehta"/>
    <n v="12764"/>
    <x v="1"/>
    <x v="1"/>
    <x v="0"/>
    <d v="2023-01-30T00:00:00"/>
    <d v="2023-01-30T20:00:00"/>
    <s v="MRI"/>
    <s v="Accepted"/>
    <s v="Night"/>
    <n v="6"/>
    <n v="8"/>
    <s v="Plan C"/>
    <x v="7"/>
  </r>
  <r>
    <x v="10"/>
    <x v="9"/>
    <x v="2"/>
    <x v="10"/>
    <d v="2023-04-02T00:00:00"/>
    <x v="7"/>
    <x v="5"/>
    <n v="4"/>
    <s v="Dr. Rao"/>
    <n v="32599"/>
    <x v="4"/>
    <x v="0"/>
    <x v="0"/>
    <d v="2023-01-31T00:00:00"/>
    <d v="2023-01-31T11:00:00"/>
    <s v="X-Ray"/>
    <s v="Accepted"/>
    <s v="Night"/>
    <n v="6"/>
    <n v="10"/>
    <s v="Plan A"/>
    <x v="1"/>
  </r>
  <r>
    <x v="11"/>
    <x v="10"/>
    <x v="4"/>
    <x v="11"/>
    <d v="2023-04-21T00:00:00"/>
    <x v="8"/>
    <x v="4"/>
    <n v="4"/>
    <s v="Dr. Gupta"/>
    <n v="5818"/>
    <x v="2"/>
    <x v="0"/>
    <x v="1"/>
    <d v="2023-02-04T00:00:00"/>
    <d v="2023-03-04T13:00:00"/>
    <s v="CT Scan"/>
    <s v="Accepted"/>
    <s v="Night"/>
    <n v="4"/>
    <n v="8"/>
    <s v="Plan B"/>
    <x v="8"/>
  </r>
  <r>
    <x v="12"/>
    <x v="11"/>
    <x v="4"/>
    <x v="12"/>
    <d v="2023-08-21T00:00:00"/>
    <x v="9"/>
    <x v="0"/>
    <n v="5"/>
    <s v="Dr. Patel"/>
    <n v="42289"/>
    <x v="2"/>
    <x v="1"/>
    <x v="0"/>
    <d v="2023-11-08T00:00:00"/>
    <d v="2023-11-08T16:00:00"/>
    <s v="Blood Test"/>
    <s v="Accepted"/>
    <s v="Night"/>
    <n v="11"/>
    <n v="8"/>
    <s v="Plan A"/>
    <x v="9"/>
  </r>
  <r>
    <x v="13"/>
    <x v="12"/>
    <x v="3"/>
    <x v="13"/>
    <d v="2023-08-30T00:00:00"/>
    <x v="3"/>
    <x v="1"/>
    <n v="2"/>
    <s v="Dr. Patel"/>
    <n v="38892"/>
    <x v="1"/>
    <x v="1"/>
    <x v="0"/>
    <d v="2023-08-23T00:00:00"/>
    <d v="2023-08-24T13:00:00"/>
    <s v="CT Scan"/>
    <s v="Accepted"/>
    <s v="Afternoon"/>
    <n v="7"/>
    <n v="12"/>
    <s v="Plan B"/>
    <x v="3"/>
  </r>
  <r>
    <x v="14"/>
    <x v="13"/>
    <x v="2"/>
    <x v="14"/>
    <d v="2024-08-06T00:00:00"/>
    <x v="1"/>
    <x v="1"/>
    <n v="5"/>
    <s v="Dr. Rao"/>
    <n v="10660"/>
    <x v="3"/>
    <x v="0"/>
    <x v="0"/>
    <d v="2024-05-30T00:00:00"/>
    <d v="2024-05-31T01:00:00"/>
    <s v="Ultrasound"/>
    <s v="Accepted"/>
    <s v="Afternoon"/>
    <n v="11"/>
    <n v="10"/>
    <s v="Plan B"/>
    <x v="10"/>
  </r>
  <r>
    <x v="15"/>
    <x v="8"/>
    <x v="2"/>
    <x v="15"/>
    <d v="2023-05-02T00:00:00"/>
    <x v="6"/>
    <x v="3"/>
    <n v="3"/>
    <s v="Dr. Mehta"/>
    <n v="34521"/>
    <x v="3"/>
    <x v="1"/>
    <x v="1"/>
    <d v="2023-01-25T00:00:00"/>
    <d v="2023-01-26T20:00:00"/>
    <s v="X-Ray"/>
    <s v="Accepted"/>
    <s v="Afternoon"/>
    <n v="5"/>
    <n v="8"/>
    <s v="Plan A"/>
    <x v="1"/>
  </r>
  <r>
    <x v="16"/>
    <x v="14"/>
    <x v="4"/>
    <x v="16"/>
    <d v="2023-07-29T00:00:00"/>
    <x v="10"/>
    <x v="1"/>
    <n v="5"/>
    <s v="Dr. Rao"/>
    <n v="43409"/>
    <x v="1"/>
    <x v="0"/>
    <x v="0"/>
    <d v="2023-07-21T00:00:00"/>
    <d v="2023-07-22T11:00:00"/>
    <s v="X-Ray"/>
    <s v="Accepted"/>
    <s v="Afternoon"/>
    <n v="11"/>
    <n v="8"/>
    <s v="Plan C"/>
    <x v="11"/>
  </r>
  <r>
    <x v="17"/>
    <x v="15"/>
    <x v="5"/>
    <x v="17"/>
    <d v="2024-03-16T00:00:00"/>
    <x v="0"/>
    <x v="2"/>
    <n v="5"/>
    <s v="Dr. Rao"/>
    <n v="39470"/>
    <x v="3"/>
    <x v="1"/>
    <x v="1"/>
    <d v="2024-02-29T00:00:00"/>
    <d v="2024-02-29T22:00:00"/>
    <s v="X-Ray"/>
    <s v="Accepted"/>
    <s v="Morning"/>
    <n v="5"/>
    <n v="12"/>
    <s v="Plan B"/>
    <x v="12"/>
  </r>
  <r>
    <x v="18"/>
    <x v="13"/>
    <x v="1"/>
    <x v="18"/>
    <d v="2023-08-26T00:00:00"/>
    <x v="11"/>
    <x v="0"/>
    <n v="1"/>
    <s v="Dr. Sharma"/>
    <n v="23385"/>
    <x v="2"/>
    <x v="0"/>
    <x v="0"/>
    <d v="2023-12-08T00:00:00"/>
    <d v="2023-08-13T01:00:00"/>
    <s v="MRI"/>
    <s v="Accepted"/>
    <s v="Afternoon"/>
    <n v="9"/>
    <n v="12"/>
    <s v="Plan C"/>
    <x v="3"/>
  </r>
  <r>
    <x v="19"/>
    <x v="16"/>
    <x v="1"/>
    <x v="19"/>
    <d v="2024-04-16T00:00:00"/>
    <x v="11"/>
    <x v="3"/>
    <n v="1"/>
    <s v="Dr. Gupta"/>
    <n v="28296"/>
    <x v="2"/>
    <x v="1"/>
    <x v="0"/>
    <d v="2024-03-04T00:00:00"/>
    <d v="2024-05-04T00:00:00"/>
    <s v="CT Scan"/>
    <s v="Accepted"/>
    <s v="Morning"/>
    <n v="6"/>
    <n v="10"/>
    <s v="Plan A"/>
    <x v="13"/>
  </r>
  <r>
    <x v="20"/>
    <x v="17"/>
    <x v="2"/>
    <x v="20"/>
    <d v="2023-10-21T00:00:00"/>
    <x v="9"/>
    <x v="2"/>
    <n v="1"/>
    <s v="Dr. Patel"/>
    <n v="28616"/>
    <x v="4"/>
    <x v="0"/>
    <x v="0"/>
    <d v="2023-12-10T00:00:00"/>
    <d v="2023-12-10T09:00:00"/>
    <s v="MRI"/>
    <s v="Accepted"/>
    <s v="Afternoon"/>
    <n v="7"/>
    <n v="8"/>
    <s v="Plan C"/>
    <x v="9"/>
  </r>
  <r>
    <x v="21"/>
    <x v="4"/>
    <x v="1"/>
    <x v="21"/>
    <d v="2023-01-14T00:00:00"/>
    <x v="1"/>
    <x v="4"/>
    <n v="5"/>
    <s v="Dr. Mehta"/>
    <n v="31382"/>
    <x v="1"/>
    <x v="1"/>
    <x v="0"/>
    <d v="2023-07-01T00:00:00"/>
    <d v="2023-08-01T21:00:00"/>
    <s v="Blood Test"/>
    <s v="Accepted"/>
    <s v="Night"/>
    <n v="7"/>
    <n v="12"/>
    <s v="Plan B"/>
    <x v="11"/>
  </r>
  <r>
    <x v="22"/>
    <x v="18"/>
    <x v="4"/>
    <x v="22"/>
    <d v="2023-06-23T00:00:00"/>
    <x v="12"/>
    <x v="5"/>
    <n v="2"/>
    <s v="Dr. Patel"/>
    <n v="16139"/>
    <x v="0"/>
    <x v="1"/>
    <x v="0"/>
    <d v="2023-08-06T00:00:00"/>
    <d v="2023-09-06T23:00:00"/>
    <s v="Ultrasound"/>
    <s v="Accepted"/>
    <s v="Night"/>
    <n v="7"/>
    <n v="12"/>
    <s v="Plan B"/>
    <x v="8"/>
  </r>
  <r>
    <x v="23"/>
    <x v="19"/>
    <x v="4"/>
    <x v="8"/>
    <d v="2024-03-20T00:00:00"/>
    <x v="11"/>
    <x v="4"/>
    <n v="3"/>
    <s v="Dr. Patel"/>
    <n v="37060"/>
    <x v="0"/>
    <x v="1"/>
    <x v="0"/>
    <d v="2024-07-03T00:00:00"/>
    <d v="2024-07-03T06:00:00"/>
    <s v="MRI"/>
    <s v="Accepted"/>
    <s v="Night"/>
    <n v="9"/>
    <n v="12"/>
    <s v="Plan B"/>
    <x v="6"/>
  </r>
  <r>
    <x v="24"/>
    <x v="20"/>
    <x v="2"/>
    <x v="23"/>
    <d v="2023-12-27T00:00:00"/>
    <x v="11"/>
    <x v="5"/>
    <n v="3"/>
    <s v="Dr. Gupta"/>
    <n v="27419"/>
    <x v="4"/>
    <x v="1"/>
    <x v="0"/>
    <d v="2023-12-12T00:00:00"/>
    <d v="2023-12-13T09:00:00"/>
    <s v="MRI"/>
    <s v="Accepted"/>
    <s v="Morning"/>
    <n v="5"/>
    <n v="10"/>
    <s v="Plan A"/>
    <x v="9"/>
  </r>
  <r>
    <x v="25"/>
    <x v="11"/>
    <x v="2"/>
    <x v="20"/>
    <d v="2023-10-15T00:00:00"/>
    <x v="3"/>
    <x v="4"/>
    <n v="2"/>
    <s v="Dr. Patel"/>
    <n v="32785"/>
    <x v="4"/>
    <x v="0"/>
    <x v="0"/>
    <d v="2023-08-10T00:00:00"/>
    <d v="2023-10-10T00:00:00"/>
    <s v="Ultrasound"/>
    <s v="Accepted"/>
    <s v="Afternoon"/>
    <n v="7"/>
    <n v="12"/>
    <s v="Plan B"/>
    <x v="9"/>
  </r>
  <r>
    <x v="26"/>
    <x v="21"/>
    <x v="3"/>
    <x v="24"/>
    <d v="2023-06-24T00:00:00"/>
    <x v="8"/>
    <x v="1"/>
    <n v="2"/>
    <s v="Dr. Patel"/>
    <n v="20702"/>
    <x v="3"/>
    <x v="0"/>
    <x v="0"/>
    <d v="2023-06-06T00:00:00"/>
    <d v="2023-06-06T23:00:00"/>
    <s v="X-Ray"/>
    <s v="Accepted"/>
    <s v="Afternoon"/>
    <n v="9"/>
    <n v="10"/>
    <s v="Plan A"/>
    <x v="2"/>
  </r>
  <r>
    <x v="27"/>
    <x v="22"/>
    <x v="2"/>
    <x v="25"/>
    <d v="2023-08-16T00:00:00"/>
    <x v="1"/>
    <x v="2"/>
    <n v="3"/>
    <s v="Dr. Rao"/>
    <n v="34217"/>
    <x v="4"/>
    <x v="1"/>
    <x v="0"/>
    <d v="2023-05-08T00:00:00"/>
    <d v="2023-05-08T04:00:00"/>
    <s v="Ultrasound"/>
    <s v="Accepted"/>
    <s v="Morning"/>
    <n v="9"/>
    <n v="10"/>
    <s v="Plan C"/>
    <x v="2"/>
  </r>
  <r>
    <x v="28"/>
    <x v="23"/>
    <x v="5"/>
    <x v="26"/>
    <d v="2023-12-22T00:00:00"/>
    <x v="0"/>
    <x v="5"/>
    <n v="4"/>
    <s v="Dr. Gupta"/>
    <n v="44291"/>
    <x v="4"/>
    <x v="1"/>
    <x v="0"/>
    <d v="2023-11-12T00:00:00"/>
    <d v="2023-11-12T07:00:00"/>
    <s v="CT Scan"/>
    <s v="Accepted"/>
    <s v="Morning"/>
    <n v="4"/>
    <n v="8"/>
    <s v="Plan B"/>
    <x v="14"/>
  </r>
  <r>
    <x v="29"/>
    <x v="24"/>
    <x v="1"/>
    <x v="6"/>
    <d v="2023-04-17T00:00:00"/>
    <x v="2"/>
    <x v="3"/>
    <n v="1"/>
    <s v="Dr. Sharma"/>
    <n v="17397"/>
    <x v="0"/>
    <x v="1"/>
    <x v="0"/>
    <d v="2023-04-13T00:00:00"/>
    <d v="2023-04-14T04:00:00"/>
    <s v="Ultrasound"/>
    <s v="Accepted"/>
    <s v="Morning"/>
    <n v="8"/>
    <n v="8"/>
    <s v="Plan B"/>
    <x v="0"/>
  </r>
  <r>
    <x v="30"/>
    <x v="17"/>
    <x v="2"/>
    <x v="27"/>
    <d v="2023-04-19T00:00:00"/>
    <x v="13"/>
    <x v="2"/>
    <n v="1"/>
    <s v="Dr. Mehta"/>
    <n v="45879"/>
    <x v="3"/>
    <x v="0"/>
    <x v="0"/>
    <d v="2023-03-04T00:00:00"/>
    <d v="2023-03-04T15:00:00"/>
    <s v="X-Ray"/>
    <s v="Accepted"/>
    <s v="Morning"/>
    <n v="11"/>
    <n v="10"/>
    <s v="Plan B"/>
    <x v="4"/>
  </r>
  <r>
    <x v="31"/>
    <x v="25"/>
    <x v="0"/>
    <x v="28"/>
    <d v="2024-02-02T00:00:00"/>
    <x v="6"/>
    <x v="3"/>
    <n v="3"/>
    <s v="Dr. Patel"/>
    <n v="40169"/>
    <x v="4"/>
    <x v="0"/>
    <x v="0"/>
    <d v="2024-01-20T00:00:00"/>
    <d v="2024-01-20T05:00:00"/>
    <s v="Ultrasound"/>
    <s v="Accepted"/>
    <s v="Morning"/>
    <n v="7"/>
    <n v="8"/>
    <s v="Plan C"/>
    <x v="10"/>
  </r>
  <r>
    <x v="32"/>
    <x v="1"/>
    <x v="3"/>
    <x v="29"/>
    <d v="2023-04-20T00:00:00"/>
    <x v="12"/>
    <x v="2"/>
    <n v="2"/>
    <s v="Dr. Mehta"/>
    <n v="31940"/>
    <x v="4"/>
    <x v="1"/>
    <x v="1"/>
    <d v="2023-07-04T00:00:00"/>
    <d v="2023-07-04T22:00:00"/>
    <s v="MRI"/>
    <s v="Rejected"/>
    <s v="Night"/>
    <n v="8"/>
    <n v="8"/>
    <s v="Plan B"/>
    <x v="15"/>
  </r>
  <r>
    <x v="33"/>
    <x v="26"/>
    <x v="0"/>
    <x v="30"/>
    <d v="2024-10-01T00:00:00"/>
    <x v="1"/>
    <x v="2"/>
    <n v="4"/>
    <s v="Dr. Sharma"/>
    <n v="47249"/>
    <x v="3"/>
    <x v="0"/>
    <x v="0"/>
    <d v="2024-02-01T00:00:00"/>
    <d v="2024-03-01T15:00:00"/>
    <s v="Blood Test"/>
    <s v="Accepted"/>
    <s v="Afternoon"/>
    <n v="5"/>
    <n v="12"/>
    <s v="Plan A"/>
    <x v="16"/>
  </r>
  <r>
    <x v="34"/>
    <x v="26"/>
    <x v="4"/>
    <x v="31"/>
    <d v="2023-12-24T00:00:00"/>
    <x v="5"/>
    <x v="4"/>
    <n v="3"/>
    <s v="Dr. Mehta"/>
    <n v="33341"/>
    <x v="1"/>
    <x v="0"/>
    <x v="0"/>
    <d v="2023-12-15T00:00:00"/>
    <d v="2023-12-16T16:00:00"/>
    <s v="MRI"/>
    <s v="Accepted"/>
    <s v="Morning"/>
    <n v="9"/>
    <n v="8"/>
    <s v="Plan C"/>
    <x v="9"/>
  </r>
  <r>
    <x v="35"/>
    <x v="27"/>
    <x v="1"/>
    <x v="32"/>
    <d v="2023-09-29T00:00:00"/>
    <x v="4"/>
    <x v="5"/>
    <n v="1"/>
    <s v="Dr. Sharma"/>
    <n v="15067"/>
    <x v="3"/>
    <x v="0"/>
    <x v="1"/>
    <d v="2023-09-26T00:00:00"/>
    <d v="2023-09-27T15:00:00"/>
    <s v="Blood Test"/>
    <s v="Accepted"/>
    <s v="Night"/>
    <n v="10"/>
    <n v="10"/>
    <s v="Plan C"/>
    <x v="2"/>
  </r>
  <r>
    <x v="36"/>
    <x v="26"/>
    <x v="2"/>
    <x v="33"/>
    <d v="2023-02-26T00:00:00"/>
    <x v="11"/>
    <x v="5"/>
    <n v="5"/>
    <s v="Dr. Rao"/>
    <n v="18824"/>
    <x v="0"/>
    <x v="0"/>
    <x v="1"/>
    <d v="2023-09-02T00:00:00"/>
    <d v="2023-10-02T02:00:00"/>
    <s v="Ultrasound"/>
    <s v="Accepted"/>
    <s v="Morning"/>
    <n v="11"/>
    <n v="8"/>
    <s v="Plan C"/>
    <x v="7"/>
  </r>
  <r>
    <x v="37"/>
    <x v="28"/>
    <x v="0"/>
    <x v="34"/>
    <d v="2024-04-21T00:00:00"/>
    <x v="10"/>
    <x v="2"/>
    <n v="2"/>
    <s v="Dr. Patel"/>
    <n v="18444"/>
    <x v="1"/>
    <x v="0"/>
    <x v="0"/>
    <d v="2024-12-04T00:00:00"/>
    <d v="2024-12-04T21:00:00"/>
    <s v="CT Scan"/>
    <s v="Accepted"/>
    <s v="Night"/>
    <n v="11"/>
    <n v="12"/>
    <s v="Plan C"/>
    <x v="13"/>
  </r>
  <r>
    <x v="38"/>
    <x v="29"/>
    <x v="1"/>
    <x v="35"/>
    <d v="2023-12-05T00:00:00"/>
    <x v="7"/>
    <x v="1"/>
    <n v="5"/>
    <s v="Dr. Sharma"/>
    <n v="38307"/>
    <x v="2"/>
    <x v="0"/>
    <x v="0"/>
    <d v="2023-07-05T00:00:00"/>
    <d v="2023-07-05T02:00:00"/>
    <s v="Ultrasound"/>
    <s v="Accepted"/>
    <s v="Morning"/>
    <n v="7"/>
    <n v="10"/>
    <s v="Plan C"/>
    <x v="3"/>
  </r>
  <r>
    <x v="39"/>
    <x v="16"/>
    <x v="4"/>
    <x v="36"/>
    <d v="2024-01-31T00:00:00"/>
    <x v="6"/>
    <x v="1"/>
    <n v="3"/>
    <s v="Dr. Mehta"/>
    <n v="15974"/>
    <x v="3"/>
    <x v="1"/>
    <x v="0"/>
    <d v="2024-01-23T00:00:00"/>
    <d v="2024-01-24T17:00:00"/>
    <s v="X-Ray"/>
    <s v="Accepted"/>
    <s v="Afternoon"/>
    <n v="10"/>
    <n v="8"/>
    <s v="Plan A"/>
    <x v="10"/>
  </r>
  <r>
    <x v="40"/>
    <x v="10"/>
    <x v="5"/>
    <x v="37"/>
    <d v="2023-03-30T00:00:00"/>
    <x v="6"/>
    <x v="3"/>
    <n v="1"/>
    <s v="Dr. Patel"/>
    <n v="43383"/>
    <x v="0"/>
    <x v="0"/>
    <x v="1"/>
    <d v="2023-03-21T00:00:00"/>
    <d v="2023-03-21T18:00:00"/>
    <s v="Ultrasound"/>
    <s v="Accepted"/>
    <s v="Morning"/>
    <n v="6"/>
    <n v="10"/>
    <s v="Plan C"/>
    <x v="5"/>
  </r>
  <r>
    <x v="41"/>
    <x v="28"/>
    <x v="3"/>
    <x v="38"/>
    <d v="2023-01-11T00:00:00"/>
    <x v="7"/>
    <x v="3"/>
    <n v="4"/>
    <s v="Dr. Rao"/>
    <n v="34290"/>
    <x v="1"/>
    <x v="1"/>
    <x v="0"/>
    <d v="2023-10-28T00:00:00"/>
    <d v="2023-10-29T05:00:00"/>
    <s v="Blood Test"/>
    <s v="Accepted"/>
    <s v="Morning"/>
    <n v="5"/>
    <n v="8"/>
    <s v="Plan B"/>
    <x v="15"/>
  </r>
  <r>
    <x v="42"/>
    <x v="30"/>
    <x v="1"/>
    <x v="39"/>
    <d v="2024-01-20T00:00:00"/>
    <x v="13"/>
    <x v="4"/>
    <n v="5"/>
    <s v="Dr. Patel"/>
    <n v="21016"/>
    <x v="3"/>
    <x v="1"/>
    <x v="1"/>
    <d v="2024-03-01T00:00:00"/>
    <d v="2024-04-01T08:00:00"/>
    <s v="MRI"/>
    <s v="Accepted"/>
    <s v="Afternoon"/>
    <n v="4"/>
    <n v="12"/>
    <s v="Plan C"/>
    <x v="17"/>
  </r>
  <r>
    <x v="43"/>
    <x v="4"/>
    <x v="1"/>
    <x v="40"/>
    <d v="2023-07-22T00:00:00"/>
    <x v="10"/>
    <x v="2"/>
    <n v="4"/>
    <s v="Dr. Sharma"/>
    <n v="37112"/>
    <x v="4"/>
    <x v="1"/>
    <x v="0"/>
    <d v="2023-07-15T00:00:00"/>
    <d v="2023-07-15T15:00:00"/>
    <s v="CT Scan"/>
    <s v="Accepted"/>
    <s v="Afternoon"/>
    <n v="4"/>
    <n v="8"/>
    <s v="Plan C"/>
    <x v="11"/>
  </r>
  <r>
    <x v="44"/>
    <x v="31"/>
    <x v="5"/>
    <x v="41"/>
    <d v="2023-03-15T00:00:00"/>
    <x v="2"/>
    <x v="3"/>
    <n v="1"/>
    <s v="Dr. Rao"/>
    <n v="33513"/>
    <x v="3"/>
    <x v="0"/>
    <x v="1"/>
    <d v="2023-08-03T00:00:00"/>
    <d v="2023-08-03T23:00:00"/>
    <s v="Ultrasound"/>
    <s v="Rejected"/>
    <s v="Morning"/>
    <n v="8"/>
    <n v="10"/>
    <s v="Plan C"/>
    <x v="5"/>
  </r>
  <r>
    <x v="45"/>
    <x v="32"/>
    <x v="1"/>
    <x v="42"/>
    <d v="2023-02-27T00:00:00"/>
    <x v="0"/>
    <x v="3"/>
    <n v="5"/>
    <s v="Dr. Mehta"/>
    <n v="7956"/>
    <x v="2"/>
    <x v="1"/>
    <x v="1"/>
    <d v="2023-02-13T00:00:00"/>
    <d v="2023-02-14T12:00:00"/>
    <s v="Ultrasound"/>
    <s v="Accepted"/>
    <s v="Afternoon"/>
    <n v="9"/>
    <n v="10"/>
    <s v="Plan C"/>
    <x v="7"/>
  </r>
  <r>
    <x v="46"/>
    <x v="33"/>
    <x v="4"/>
    <x v="43"/>
    <d v="2023-08-28T00:00:00"/>
    <x v="10"/>
    <x v="0"/>
    <n v="4"/>
    <s v="Dr. Rao"/>
    <n v="13077"/>
    <x v="3"/>
    <x v="1"/>
    <x v="1"/>
    <d v="2023-08-22T00:00:00"/>
    <d v="2023-08-23T01:00:00"/>
    <s v="MRI"/>
    <s v="Accepted"/>
    <s v="Afternoon"/>
    <n v="8"/>
    <n v="10"/>
    <s v="Plan C"/>
    <x v="3"/>
  </r>
  <r>
    <x v="47"/>
    <x v="34"/>
    <x v="4"/>
    <x v="44"/>
    <d v="2023-02-11T00:00:00"/>
    <x v="9"/>
    <x v="2"/>
    <n v="4"/>
    <s v="Dr. Rao"/>
    <n v="41490"/>
    <x v="1"/>
    <x v="1"/>
    <x v="0"/>
    <d v="2023-10-19T00:00:00"/>
    <d v="2023-10-20T04:00:00"/>
    <s v="CT Scan"/>
    <s v="Accepted"/>
    <s v="Night"/>
    <n v="6"/>
    <n v="8"/>
    <s v="Plan A"/>
    <x v="15"/>
  </r>
  <r>
    <x v="48"/>
    <x v="21"/>
    <x v="5"/>
    <x v="45"/>
    <d v="2023-07-04T00:00:00"/>
    <x v="8"/>
    <x v="4"/>
    <n v="5"/>
    <s v="Dr. Gupta"/>
    <n v="49827"/>
    <x v="1"/>
    <x v="1"/>
    <x v="1"/>
    <d v="2023-03-21T00:00:00"/>
    <d v="2023-03-21T12:00:00"/>
    <s v="Ultrasound"/>
    <s v="Accepted"/>
    <s v="Afternoon"/>
    <n v="6"/>
    <n v="8"/>
    <s v="Plan A"/>
    <x v="5"/>
  </r>
  <r>
    <x v="49"/>
    <x v="17"/>
    <x v="3"/>
    <x v="13"/>
    <d v="2023-07-09T00:00:00"/>
    <x v="0"/>
    <x v="3"/>
    <n v="1"/>
    <s v="Dr. Rao"/>
    <n v="42855"/>
    <x v="3"/>
    <x v="1"/>
    <x v="0"/>
    <d v="2023-08-22T00:00:00"/>
    <d v="2023-08-23T20:00:00"/>
    <s v="Ultrasound"/>
    <s v="Accepted"/>
    <s v="Afternoon"/>
    <n v="11"/>
    <n v="8"/>
    <s v="Plan C"/>
    <x v="3"/>
  </r>
  <r>
    <x v="50"/>
    <x v="35"/>
    <x v="2"/>
    <x v="46"/>
    <d v="2023-04-20T00:00:00"/>
    <x v="10"/>
    <x v="4"/>
    <n v="4"/>
    <s v="Dr. Rao"/>
    <n v="48106"/>
    <x v="1"/>
    <x v="0"/>
    <x v="0"/>
    <d v="2023-12-04T00:00:00"/>
    <d v="2023-04-13T14:00:00"/>
    <s v="Blood Test"/>
    <s v="Accepted"/>
    <s v="Morning"/>
    <n v="4"/>
    <n v="12"/>
    <s v="Plan A"/>
    <x v="0"/>
  </r>
  <r>
    <x v="51"/>
    <x v="36"/>
    <x v="0"/>
    <x v="28"/>
    <d v="2024-01-26T00:00:00"/>
    <x v="4"/>
    <x v="5"/>
    <n v="3"/>
    <s v="Dr. Patel"/>
    <n v="39938"/>
    <x v="4"/>
    <x v="0"/>
    <x v="0"/>
    <d v="2024-01-20T00:00:00"/>
    <d v="2024-01-21T19:00:00"/>
    <s v="Blood Test"/>
    <s v="Accepted"/>
    <s v="Morning"/>
    <n v="10"/>
    <n v="12"/>
    <s v="Plan B"/>
    <x v="10"/>
  </r>
  <r>
    <x v="52"/>
    <x v="12"/>
    <x v="2"/>
    <x v="20"/>
    <d v="2023-10-19T00:00:00"/>
    <x v="1"/>
    <x v="4"/>
    <n v="5"/>
    <s v="Dr. Mehta"/>
    <n v="41159"/>
    <x v="3"/>
    <x v="1"/>
    <x v="0"/>
    <d v="2023-12-10T00:00:00"/>
    <d v="2023-10-13T01:00:00"/>
    <s v="X-Ray"/>
    <s v="Rejected"/>
    <s v="Night"/>
    <n v="7"/>
    <n v="12"/>
    <s v="Plan C"/>
    <x v="9"/>
  </r>
  <r>
    <x v="53"/>
    <x v="13"/>
    <x v="1"/>
    <x v="47"/>
    <d v="2024-04-14T00:00:00"/>
    <x v="5"/>
    <x v="1"/>
    <n v="2"/>
    <s v="Dr. Patel"/>
    <n v="44710"/>
    <x v="4"/>
    <x v="0"/>
    <x v="0"/>
    <d v="2024-05-04T00:00:00"/>
    <d v="2024-05-04T06:00:00"/>
    <s v="MRI"/>
    <s v="Accepted"/>
    <s v="Morning"/>
    <n v="4"/>
    <n v="10"/>
    <s v="Plan B"/>
    <x v="18"/>
  </r>
  <r>
    <x v="54"/>
    <x v="37"/>
    <x v="0"/>
    <x v="48"/>
    <d v="2024-01-13T00:00:00"/>
    <x v="7"/>
    <x v="1"/>
    <n v="2"/>
    <s v="Dr. Patel"/>
    <n v="23000"/>
    <x v="4"/>
    <x v="0"/>
    <x v="1"/>
    <d v="2024-05-01T00:00:00"/>
    <d v="2024-06-01T16:00:00"/>
    <s v="CT Scan"/>
    <s v="Accepted"/>
    <s v="Afternoon"/>
    <n v="4"/>
    <n v="10"/>
    <s v="Plan B"/>
    <x v="18"/>
  </r>
  <r>
    <x v="55"/>
    <x v="17"/>
    <x v="5"/>
    <x v="49"/>
    <d v="2023-06-18T00:00:00"/>
    <x v="2"/>
    <x v="4"/>
    <n v="1"/>
    <s v="Dr. Sharma"/>
    <n v="18806"/>
    <x v="0"/>
    <x v="1"/>
    <x v="0"/>
    <d v="2023-06-14T00:00:00"/>
    <d v="2023-06-14T19:00:00"/>
    <s v="Ultrasound"/>
    <s v="Accepted"/>
    <s v="Afternoon"/>
    <n v="10"/>
    <n v="10"/>
    <s v="Plan C"/>
    <x v="8"/>
  </r>
  <r>
    <x v="56"/>
    <x v="38"/>
    <x v="5"/>
    <x v="50"/>
    <d v="2024-01-29T00:00:00"/>
    <x v="13"/>
    <x v="1"/>
    <n v="3"/>
    <s v="Dr. Patel"/>
    <n v="17809"/>
    <x v="3"/>
    <x v="0"/>
    <x v="1"/>
    <d v="2024-01-13T00:00:00"/>
    <d v="2024-01-13T16:00:00"/>
    <s v="Ultrasound"/>
    <s v="Accepted"/>
    <s v="Afternoon"/>
    <n v="11"/>
    <n v="10"/>
    <s v="Plan B"/>
    <x v="10"/>
  </r>
  <r>
    <x v="57"/>
    <x v="39"/>
    <x v="3"/>
    <x v="51"/>
    <d v="2024-01-13T00:00:00"/>
    <x v="13"/>
    <x v="5"/>
    <n v="4"/>
    <s v="Dr. Gupta"/>
    <n v="19855"/>
    <x v="1"/>
    <x v="0"/>
    <x v="1"/>
    <d v="2023-12-29T00:00:00"/>
    <d v="2023-12-30T22:00:00"/>
    <s v="X-Ray"/>
    <s v="Accepted"/>
    <s v="Morning"/>
    <n v="11"/>
    <n v="10"/>
    <s v="Plan B"/>
    <x v="9"/>
  </r>
  <r>
    <x v="58"/>
    <x v="40"/>
    <x v="0"/>
    <x v="52"/>
    <d v="2023-11-08T00:00:00"/>
    <x v="6"/>
    <x v="2"/>
    <n v="2"/>
    <s v="Dr. Gupta"/>
    <n v="46876"/>
    <x v="4"/>
    <x v="1"/>
    <x v="0"/>
    <d v="2023-07-29T00:00:00"/>
    <d v="2023-07-29T05:00:00"/>
    <s v="Ultrasound"/>
    <s v="Accepted"/>
    <s v="Afternoon"/>
    <n v="10"/>
    <n v="8"/>
    <s v="Plan B"/>
    <x v="5"/>
  </r>
  <r>
    <x v="59"/>
    <x v="27"/>
    <x v="4"/>
    <x v="53"/>
    <d v="2023-03-10T00:00:00"/>
    <x v="2"/>
    <x v="1"/>
    <n v="1"/>
    <s v="Dr. Sharma"/>
    <n v="34388"/>
    <x v="0"/>
    <x v="1"/>
    <x v="0"/>
    <d v="2023-09-26T00:00:00"/>
    <d v="2023-09-26T06:00:00"/>
    <s v="MRI"/>
    <s v="Accepted"/>
    <s v="Afternoon"/>
    <n v="6"/>
    <n v="10"/>
    <s v="Plan C"/>
    <x v="1"/>
  </r>
  <r>
    <x v="60"/>
    <x v="41"/>
    <x v="0"/>
    <x v="54"/>
    <d v="2023-03-26T00:00:00"/>
    <x v="0"/>
    <x v="1"/>
    <n v="3"/>
    <s v="Dr. Mehta"/>
    <n v="11458"/>
    <x v="3"/>
    <x v="0"/>
    <x v="0"/>
    <d v="2023-10-03T00:00:00"/>
    <d v="2023-10-03T18:00:00"/>
    <s v="X-Ray"/>
    <s v="Accepted"/>
    <s v="Night"/>
    <n v="10"/>
    <n v="8"/>
    <s v="Plan C"/>
    <x v="5"/>
  </r>
  <r>
    <x v="61"/>
    <x v="42"/>
    <x v="1"/>
    <x v="55"/>
    <d v="2023-06-29T00:00:00"/>
    <x v="7"/>
    <x v="4"/>
    <n v="3"/>
    <s v="Dr. Mehta"/>
    <n v="40524"/>
    <x v="3"/>
    <x v="1"/>
    <x v="0"/>
    <d v="2023-06-20T00:00:00"/>
    <d v="2023-06-20T10:00:00"/>
    <s v="MRI"/>
    <s v="Accepted"/>
    <s v="Night"/>
    <n v="8"/>
    <n v="12"/>
    <s v="Plan B"/>
    <x v="8"/>
  </r>
  <r>
    <x v="62"/>
    <x v="43"/>
    <x v="4"/>
    <x v="3"/>
    <d v="2023-09-19T00:00:00"/>
    <x v="0"/>
    <x v="5"/>
    <n v="1"/>
    <s v="Dr. Patel"/>
    <n v="11853"/>
    <x v="2"/>
    <x v="1"/>
    <x v="0"/>
    <d v="2023-07-09T00:00:00"/>
    <d v="2023-08-09T01:00:00"/>
    <s v="X-Ray"/>
    <s v="Accepted"/>
    <s v="Night"/>
    <n v="6"/>
    <n v="12"/>
    <s v="Plan C"/>
    <x v="3"/>
  </r>
  <r>
    <x v="63"/>
    <x v="44"/>
    <x v="5"/>
    <x v="56"/>
    <d v="2023-06-28T00:00:00"/>
    <x v="0"/>
    <x v="2"/>
    <n v="1"/>
    <s v="Dr. Patel"/>
    <n v="45477"/>
    <x v="2"/>
    <x v="1"/>
    <x v="1"/>
    <d v="2023-06-15T00:00:00"/>
    <d v="2023-06-16T22:00:00"/>
    <s v="Ultrasound"/>
    <s v="Accepted"/>
    <s v="Morning"/>
    <n v="10"/>
    <n v="12"/>
    <s v="Plan C"/>
    <x v="8"/>
  </r>
  <r>
    <x v="64"/>
    <x v="45"/>
    <x v="0"/>
    <x v="57"/>
    <d v="2024-04-28T00:00:00"/>
    <x v="12"/>
    <x v="4"/>
    <n v="4"/>
    <s v="Dr. Patel"/>
    <n v="37222"/>
    <x v="4"/>
    <x v="1"/>
    <x v="1"/>
    <d v="2024-04-14T00:00:00"/>
    <d v="2024-04-15T17:00:00"/>
    <s v="X-Ray"/>
    <s v="Accepted"/>
    <s v="Afternoon"/>
    <n v="9"/>
    <n v="12"/>
    <s v="Plan B"/>
    <x v="13"/>
  </r>
  <r>
    <x v="65"/>
    <x v="34"/>
    <x v="2"/>
    <x v="58"/>
    <d v="2024-01-25T00:00:00"/>
    <x v="4"/>
    <x v="4"/>
    <n v="1"/>
    <s v="Dr. Mehta"/>
    <n v="23320"/>
    <x v="2"/>
    <x v="0"/>
    <x v="1"/>
    <d v="2024-01-23T00:00:00"/>
    <d v="2024-01-23T10:00:00"/>
    <s v="Blood Test"/>
    <s v="Accepted"/>
    <s v="Afternoon"/>
    <n v="6"/>
    <n v="12"/>
    <s v="Plan C"/>
    <x v="10"/>
  </r>
  <r>
    <x v="66"/>
    <x v="13"/>
    <x v="3"/>
    <x v="59"/>
    <d v="2023-05-10T00:00:00"/>
    <x v="4"/>
    <x v="0"/>
    <n v="4"/>
    <s v="Dr. Rao"/>
    <n v="33618"/>
    <x v="4"/>
    <x v="1"/>
    <x v="1"/>
    <d v="2023-04-10T00:00:00"/>
    <d v="2023-06-10T00:00:00"/>
    <s v="CT Scan"/>
    <s v="Accepted"/>
    <s v="Afternoon"/>
    <n v="6"/>
    <n v="10"/>
    <s v="Plan A"/>
    <x v="0"/>
  </r>
  <r>
    <x v="67"/>
    <x v="46"/>
    <x v="2"/>
    <x v="60"/>
    <d v="2023-08-26T00:00:00"/>
    <x v="14"/>
    <x v="5"/>
    <n v="4"/>
    <s v="Dr. Gupta"/>
    <n v="22352"/>
    <x v="1"/>
    <x v="1"/>
    <x v="0"/>
    <d v="2023-12-08T00:00:00"/>
    <d v="2023-08-13T01:00:00"/>
    <s v="Ultrasound"/>
    <s v="Accepted"/>
    <s v="Night"/>
    <n v="4"/>
    <n v="10"/>
    <s v="Plan C"/>
    <x v="3"/>
  </r>
  <r>
    <x v="68"/>
    <x v="47"/>
    <x v="3"/>
    <x v="61"/>
    <d v="2023-05-12T00:00:00"/>
    <x v="10"/>
    <x v="2"/>
    <n v="5"/>
    <s v="Dr. Rao"/>
    <n v="12297"/>
    <x v="4"/>
    <x v="0"/>
    <x v="0"/>
    <d v="2023-11-28T00:00:00"/>
    <d v="2023-11-28T21:00:00"/>
    <s v="CT Scan"/>
    <s v="Accepted"/>
    <s v="Afternoon"/>
    <n v="7"/>
    <n v="10"/>
    <s v="Plan A"/>
    <x v="14"/>
  </r>
  <r>
    <x v="69"/>
    <x v="34"/>
    <x v="1"/>
    <x v="62"/>
    <d v="2023-03-03T00:00:00"/>
    <x v="7"/>
    <x v="5"/>
    <n v="3"/>
    <s v="Dr. Rao"/>
    <n v="32940"/>
    <x v="2"/>
    <x v="1"/>
    <x v="1"/>
    <d v="2023-02-26T00:00:00"/>
    <d v="2023-02-27T00:00:00"/>
    <s v="Ultrasound"/>
    <s v="Accepted"/>
    <s v="Afternoon"/>
    <n v="4"/>
    <n v="12"/>
    <s v="Plan B"/>
    <x v="7"/>
  </r>
  <r>
    <x v="70"/>
    <x v="47"/>
    <x v="2"/>
    <x v="63"/>
    <d v="2023-08-26T00:00:00"/>
    <x v="3"/>
    <x v="2"/>
    <n v="3"/>
    <s v="Dr. Mehta"/>
    <n v="8203"/>
    <x v="1"/>
    <x v="1"/>
    <x v="0"/>
    <d v="2023-08-20T00:00:00"/>
    <d v="2023-08-20T07:00:00"/>
    <s v="CT Scan"/>
    <s v="Accepted"/>
    <s v="Afternoon"/>
    <n v="5"/>
    <n v="12"/>
    <s v="Plan C"/>
    <x v="3"/>
  </r>
  <r>
    <x v="71"/>
    <x v="48"/>
    <x v="0"/>
    <x v="9"/>
    <d v="2023-02-15T00:00:00"/>
    <x v="14"/>
    <x v="5"/>
    <n v="3"/>
    <s v="Dr. Rao"/>
    <n v="44267"/>
    <x v="2"/>
    <x v="1"/>
    <x v="0"/>
    <d v="2023-02-02T00:00:00"/>
    <d v="2023-02-02T06:00:00"/>
    <s v="Blood Test"/>
    <s v="Accepted"/>
    <s v="Afternoon"/>
    <n v="6"/>
    <n v="8"/>
    <s v="Plan B"/>
    <x v="7"/>
  </r>
  <r>
    <x v="72"/>
    <x v="33"/>
    <x v="0"/>
    <x v="64"/>
    <d v="2023-11-30T00:00:00"/>
    <x v="12"/>
    <x v="4"/>
    <n v="5"/>
    <s v="Dr. Sharma"/>
    <n v="42941"/>
    <x v="4"/>
    <x v="0"/>
    <x v="1"/>
    <d v="2023-11-18T00:00:00"/>
    <d v="2023-11-18T01:00:00"/>
    <s v="CT Scan"/>
    <s v="Accepted"/>
    <s v="Afternoon"/>
    <n v="10"/>
    <n v="10"/>
    <s v="Plan B"/>
    <x v="14"/>
  </r>
  <r>
    <x v="73"/>
    <x v="39"/>
    <x v="2"/>
    <x v="65"/>
    <d v="2024-02-19T00:00:00"/>
    <x v="7"/>
    <x v="4"/>
    <n v="4"/>
    <s v="Dr. Patel"/>
    <n v="22273"/>
    <x v="0"/>
    <x v="1"/>
    <x v="1"/>
    <d v="2024-11-02T00:00:00"/>
    <d v="2024-11-02T20:00:00"/>
    <s v="X-Ray"/>
    <s v="Accepted"/>
    <s v="Morning"/>
    <n v="10"/>
    <n v="12"/>
    <s v="Plan B"/>
    <x v="19"/>
  </r>
  <r>
    <x v="74"/>
    <x v="49"/>
    <x v="0"/>
    <x v="66"/>
    <d v="2023-04-10T00:00:00"/>
    <x v="2"/>
    <x v="3"/>
    <n v="4"/>
    <s v="Dr. Sharma"/>
    <n v="30368"/>
    <x v="3"/>
    <x v="1"/>
    <x v="1"/>
    <d v="2023-09-28T00:00:00"/>
    <d v="2023-09-29T05:00:00"/>
    <s v="CT Scan"/>
    <s v="Accepted"/>
    <s v="Afternoon"/>
    <n v="10"/>
    <n v="12"/>
    <s v="Plan B"/>
    <x v="7"/>
  </r>
  <r>
    <x v="75"/>
    <x v="50"/>
    <x v="1"/>
    <x v="67"/>
    <d v="2023-03-23T00:00:00"/>
    <x v="13"/>
    <x v="1"/>
    <n v="1"/>
    <s v="Dr. Gupta"/>
    <n v="16650"/>
    <x v="2"/>
    <x v="1"/>
    <x v="1"/>
    <d v="2023-07-03T00:00:00"/>
    <d v="2023-08-03T00:00:00"/>
    <s v="Ultrasound"/>
    <s v="Accepted"/>
    <s v="Morning"/>
    <n v="6"/>
    <n v="12"/>
    <s v="Plan B"/>
    <x v="2"/>
  </r>
  <r>
    <x v="76"/>
    <x v="26"/>
    <x v="4"/>
    <x v="68"/>
    <d v="2023-08-18T00:00:00"/>
    <x v="14"/>
    <x v="0"/>
    <n v="5"/>
    <s v="Dr. Patel"/>
    <n v="35984"/>
    <x v="4"/>
    <x v="1"/>
    <x v="1"/>
    <d v="2023-02-08T00:00:00"/>
    <d v="2023-02-08T18:00:00"/>
    <s v="MRI"/>
    <s v="Accepted"/>
    <s v="Afternoon"/>
    <n v="10"/>
    <n v="8"/>
    <s v="Plan C"/>
    <x v="4"/>
  </r>
  <r>
    <x v="77"/>
    <x v="35"/>
    <x v="1"/>
    <x v="69"/>
    <d v="2023-11-28T00:00:00"/>
    <x v="9"/>
    <x v="5"/>
    <n v="1"/>
    <s v="Dr. Rao"/>
    <n v="46941"/>
    <x v="1"/>
    <x v="1"/>
    <x v="0"/>
    <d v="2023-11-15T00:00:00"/>
    <d v="2023-11-15T07:00:00"/>
    <s v="CT Scan"/>
    <s v="Accepted"/>
    <s v="Morning"/>
    <n v="5"/>
    <n v="12"/>
    <s v="Plan A"/>
    <x v="14"/>
  </r>
  <r>
    <x v="78"/>
    <x v="51"/>
    <x v="3"/>
    <x v="70"/>
    <d v="2023-10-08T00:00:00"/>
    <x v="7"/>
    <x v="0"/>
    <n v="5"/>
    <s v="Dr. Gupta"/>
    <n v="12382"/>
    <x v="2"/>
    <x v="1"/>
    <x v="1"/>
    <d v="2023-05-08T00:00:00"/>
    <d v="2023-05-08T09:00:00"/>
    <s v="CT Scan"/>
    <s v="Accepted"/>
    <s v="Afternoon"/>
    <n v="6"/>
    <n v="8"/>
    <s v="Plan C"/>
    <x v="8"/>
  </r>
  <r>
    <x v="79"/>
    <x v="1"/>
    <x v="1"/>
    <x v="71"/>
    <d v="2024-05-06T00:00:00"/>
    <x v="12"/>
    <x v="3"/>
    <n v="1"/>
    <s v="Dr. Patel"/>
    <n v="5801"/>
    <x v="2"/>
    <x v="0"/>
    <x v="0"/>
    <d v="2024-05-22T00:00:00"/>
    <d v="2024-05-22T06:00:00"/>
    <s v="CT Scan"/>
    <s v="Accepted"/>
    <s v="Afternoon"/>
    <n v="10"/>
    <n v="8"/>
    <s v="Plan C"/>
    <x v="12"/>
  </r>
  <r>
    <x v="80"/>
    <x v="2"/>
    <x v="3"/>
    <x v="72"/>
    <d v="2024-02-14T00:00:00"/>
    <x v="7"/>
    <x v="1"/>
    <n v="2"/>
    <s v="Dr. Rao"/>
    <n v="46002"/>
    <x v="3"/>
    <x v="1"/>
    <x v="0"/>
    <d v="2024-10-02T00:00:00"/>
    <d v="2024-10-02T12:00:00"/>
    <s v="Ultrasound"/>
    <s v="Accepted"/>
    <s v="Afternoon"/>
    <n v="6"/>
    <n v="10"/>
    <s v="Plan C"/>
    <x v="20"/>
  </r>
  <r>
    <x v="81"/>
    <x v="42"/>
    <x v="0"/>
    <x v="73"/>
    <d v="2024-04-28T00:00:00"/>
    <x v="13"/>
    <x v="5"/>
    <n v="3"/>
    <s v="Dr. Sharma"/>
    <n v="24733"/>
    <x v="4"/>
    <x v="0"/>
    <x v="0"/>
    <d v="2024-04-14T00:00:00"/>
    <d v="2024-04-15T04:00:00"/>
    <s v="CT Scan"/>
    <s v="Accepted"/>
    <s v="Afternoon"/>
    <n v="9"/>
    <n v="12"/>
    <s v="Plan C"/>
    <x v="13"/>
  </r>
  <r>
    <x v="82"/>
    <x v="6"/>
    <x v="4"/>
    <x v="74"/>
    <d v="2023-10-06T00:00:00"/>
    <x v="13"/>
    <x v="2"/>
    <n v="3"/>
    <s v="Dr. Patel"/>
    <n v="14969"/>
    <x v="0"/>
    <x v="1"/>
    <x v="0"/>
    <d v="2023-05-25T00:00:00"/>
    <d v="2023-05-26T05:00:00"/>
    <s v="Ultrasound"/>
    <s v="Accepted"/>
    <s v="Night"/>
    <n v="6"/>
    <n v="8"/>
    <s v="Plan A"/>
    <x v="4"/>
  </r>
  <r>
    <x v="83"/>
    <x v="26"/>
    <x v="0"/>
    <x v="75"/>
    <d v="2023-03-10T00:00:00"/>
    <x v="7"/>
    <x v="1"/>
    <n v="4"/>
    <s v="Dr. Rao"/>
    <n v="40969"/>
    <x v="1"/>
    <x v="0"/>
    <x v="1"/>
    <d v="2023-09-26T00:00:00"/>
    <d v="2023-09-27T12:00:00"/>
    <s v="Ultrasound"/>
    <s v="Accepted"/>
    <s v="Afternoon"/>
    <n v="5"/>
    <n v="12"/>
    <s v="Plan C"/>
    <x v="2"/>
  </r>
  <r>
    <x v="84"/>
    <x v="52"/>
    <x v="5"/>
    <x v="5"/>
    <d v="2023-05-29T00:00:00"/>
    <x v="10"/>
    <x v="4"/>
    <n v="2"/>
    <s v="Dr. Sharma"/>
    <n v="21733"/>
    <x v="4"/>
    <x v="1"/>
    <x v="0"/>
    <d v="2023-05-18T00:00:00"/>
    <d v="2023-05-19T12:00:00"/>
    <s v="MRI"/>
    <s v="Accepted"/>
    <s v="Morning"/>
    <n v="4"/>
    <n v="10"/>
    <s v="Plan B"/>
    <x v="4"/>
  </r>
  <r>
    <x v="85"/>
    <x v="53"/>
    <x v="0"/>
    <x v="76"/>
    <d v="2023-09-23T00:00:00"/>
    <x v="14"/>
    <x v="3"/>
    <n v="3"/>
    <s v="Dr. Gupta"/>
    <n v="37449"/>
    <x v="1"/>
    <x v="0"/>
    <x v="0"/>
    <d v="2023-05-09T00:00:00"/>
    <d v="2023-06-09T09:00:00"/>
    <s v="X-Ray"/>
    <s v="Accepted"/>
    <s v="Night"/>
    <n v="6"/>
    <n v="10"/>
    <s v="Plan C"/>
    <x v="15"/>
  </r>
  <r>
    <x v="86"/>
    <x v="25"/>
    <x v="3"/>
    <x v="77"/>
    <d v="2023-09-30T00:00:00"/>
    <x v="3"/>
    <x v="1"/>
    <n v="4"/>
    <s v="Dr. Gupta"/>
    <n v="31143"/>
    <x v="2"/>
    <x v="1"/>
    <x v="1"/>
    <d v="2023-09-24T00:00:00"/>
    <d v="2023-09-25T03:00:00"/>
    <s v="Ultrasound"/>
    <s v="Accepted"/>
    <s v="Night"/>
    <n v="7"/>
    <n v="8"/>
    <s v="Plan C"/>
    <x v="2"/>
  </r>
  <r>
    <x v="87"/>
    <x v="54"/>
    <x v="0"/>
    <x v="78"/>
    <d v="2024-03-27T00:00:00"/>
    <x v="14"/>
    <x v="1"/>
    <n v="2"/>
    <s v="Dr. Gupta"/>
    <n v="30705"/>
    <x v="3"/>
    <x v="1"/>
    <x v="1"/>
    <d v="2024-10-03T00:00:00"/>
    <d v="2024-10-03T07:00:00"/>
    <s v="Blood Test"/>
    <s v="Accepted"/>
    <s v="Afternoon"/>
    <n v="5"/>
    <n v="10"/>
    <s v="Plan A"/>
    <x v="16"/>
  </r>
  <r>
    <x v="88"/>
    <x v="12"/>
    <x v="0"/>
    <x v="79"/>
    <d v="2024-02-28T00:00:00"/>
    <x v="8"/>
    <x v="4"/>
    <n v="3"/>
    <s v="Dr. Gupta"/>
    <n v="33363"/>
    <x v="3"/>
    <x v="1"/>
    <x v="0"/>
    <d v="2024-10-02T00:00:00"/>
    <d v="2024-10-02T02:00:00"/>
    <s v="CT Scan"/>
    <s v="Accepted"/>
    <s v="Morning"/>
    <n v="8"/>
    <n v="10"/>
    <s v="Plan A"/>
    <x v="19"/>
  </r>
  <r>
    <x v="89"/>
    <x v="9"/>
    <x v="4"/>
    <x v="39"/>
    <d v="2024-01-16T00:00:00"/>
    <x v="12"/>
    <x v="5"/>
    <n v="1"/>
    <s v="Dr. Mehta"/>
    <n v="35720"/>
    <x v="0"/>
    <x v="0"/>
    <x v="0"/>
    <d v="2024-03-01T00:00:00"/>
    <d v="2024-03-01T06:00:00"/>
    <s v="Blood Test"/>
    <s v="Accepted"/>
    <s v="Morning"/>
    <n v="9"/>
    <n v="10"/>
    <s v="Plan B"/>
    <x v="17"/>
  </r>
  <r>
    <x v="90"/>
    <x v="55"/>
    <x v="0"/>
    <x v="60"/>
    <d v="2023-08-14T00:00:00"/>
    <x v="4"/>
    <x v="2"/>
    <n v="5"/>
    <s v="Dr. Patel"/>
    <n v="14972"/>
    <x v="3"/>
    <x v="1"/>
    <x v="0"/>
    <d v="2023-09-08T00:00:00"/>
    <d v="2023-09-08T23:00:00"/>
    <s v="CT Scan"/>
    <s v="Accepted"/>
    <s v="Night"/>
    <n v="5"/>
    <n v="12"/>
    <s v="Plan C"/>
    <x v="3"/>
  </r>
  <r>
    <x v="91"/>
    <x v="21"/>
    <x v="4"/>
    <x v="80"/>
    <d v="2023-05-27T00:00:00"/>
    <x v="5"/>
    <x v="4"/>
    <n v="2"/>
    <s v="Dr. Patel"/>
    <n v="38351"/>
    <x v="2"/>
    <x v="1"/>
    <x v="0"/>
    <d v="2023-05-22T00:00:00"/>
    <d v="2023-05-23T12:00:00"/>
    <s v="MRI"/>
    <s v="Accepted"/>
    <s v="Morning"/>
    <n v="4"/>
    <n v="12"/>
    <s v="Plan C"/>
    <x v="4"/>
  </r>
  <r>
    <x v="92"/>
    <x v="17"/>
    <x v="2"/>
    <x v="81"/>
    <d v="2024-06-19T00:00:00"/>
    <x v="13"/>
    <x v="2"/>
    <n v="4"/>
    <s v="Dr. Mehta"/>
    <n v="41145"/>
    <x v="0"/>
    <x v="0"/>
    <x v="0"/>
    <d v="2024-04-06T00:00:00"/>
    <d v="2024-04-06T06:00:00"/>
    <s v="Ultrasound"/>
    <s v="Accepted"/>
    <s v="Afternoon"/>
    <n v="10"/>
    <n v="8"/>
    <s v="Plan C"/>
    <x v="12"/>
  </r>
  <r>
    <x v="93"/>
    <x v="56"/>
    <x v="5"/>
    <x v="82"/>
    <d v="2024-05-23T00:00:00"/>
    <x v="3"/>
    <x v="5"/>
    <n v="2"/>
    <s v="Dr. Rao"/>
    <n v="27412"/>
    <x v="4"/>
    <x v="1"/>
    <x v="1"/>
    <d v="2024-05-18T00:00:00"/>
    <d v="2024-05-19T15:00:00"/>
    <s v="X-Ray"/>
    <s v="Rejected"/>
    <s v="Afternoon"/>
    <n v="10"/>
    <n v="8"/>
    <s v="Plan B"/>
    <x v="12"/>
  </r>
  <r>
    <x v="94"/>
    <x v="57"/>
    <x v="4"/>
    <x v="83"/>
    <d v="2023-07-04T00:00:00"/>
    <x v="3"/>
    <x v="1"/>
    <n v="4"/>
    <s v="Dr. Rao"/>
    <n v="29078"/>
    <x v="3"/>
    <x v="0"/>
    <x v="0"/>
    <d v="2023-03-30T00:00:00"/>
    <d v="2023-03-31T15:00:00"/>
    <s v="Ultrasound"/>
    <s v="Accepted"/>
    <s v="Afternoon"/>
    <n v="5"/>
    <n v="10"/>
    <s v="Plan A"/>
    <x v="0"/>
  </r>
  <r>
    <x v="95"/>
    <x v="1"/>
    <x v="3"/>
    <x v="84"/>
    <d v="2023-02-27T00:00:00"/>
    <x v="9"/>
    <x v="2"/>
    <n v="2"/>
    <s v="Dr. Gupta"/>
    <n v="27580"/>
    <x v="0"/>
    <x v="0"/>
    <x v="1"/>
    <d v="2023-02-18T00:00:00"/>
    <d v="2023-02-18T21:00:00"/>
    <s v="CT Scan"/>
    <s v="Accepted"/>
    <s v="Afternoon"/>
    <n v="8"/>
    <n v="10"/>
    <s v="Plan B"/>
    <x v="7"/>
  </r>
  <r>
    <x v="96"/>
    <x v="58"/>
    <x v="2"/>
    <x v="85"/>
    <d v="2023-04-28T00:00:00"/>
    <x v="5"/>
    <x v="3"/>
    <n v="4"/>
    <s v="Dr. Sharma"/>
    <n v="19855"/>
    <x v="2"/>
    <x v="0"/>
    <x v="1"/>
    <d v="2023-04-20T00:00:00"/>
    <d v="2023-04-21T01:00:00"/>
    <s v="X-Ray"/>
    <s v="Accepted"/>
    <s v="Afternoon"/>
    <n v="10"/>
    <n v="8"/>
    <s v="Plan C"/>
    <x v="0"/>
  </r>
  <r>
    <x v="97"/>
    <x v="59"/>
    <x v="4"/>
    <x v="86"/>
    <d v="2023-06-19T00:00:00"/>
    <x v="14"/>
    <x v="3"/>
    <n v="3"/>
    <s v="Dr. Rao"/>
    <n v="41169"/>
    <x v="1"/>
    <x v="1"/>
    <x v="0"/>
    <d v="2023-03-06T00:00:00"/>
    <d v="2023-03-06T01:00:00"/>
    <s v="Ultrasound"/>
    <s v="Rejected"/>
    <s v="Night"/>
    <n v="9"/>
    <n v="10"/>
    <s v="Plan A"/>
    <x v="8"/>
  </r>
  <r>
    <x v="98"/>
    <x v="21"/>
    <x v="4"/>
    <x v="22"/>
    <d v="2023-06-16T00:00:00"/>
    <x v="3"/>
    <x v="4"/>
    <n v="1"/>
    <s v="Dr. Sharma"/>
    <n v="24569"/>
    <x v="1"/>
    <x v="1"/>
    <x v="0"/>
    <d v="2023-08-06T00:00:00"/>
    <d v="2023-08-06T19:00:00"/>
    <s v="X-Ray"/>
    <s v="Rejected"/>
    <s v="Afternoon"/>
    <n v="7"/>
    <n v="8"/>
    <s v="Plan A"/>
    <x v="8"/>
  </r>
  <r>
    <x v="99"/>
    <x v="38"/>
    <x v="5"/>
    <x v="8"/>
    <d v="2024-10-03T00:00:00"/>
    <x v="2"/>
    <x v="5"/>
    <n v="3"/>
    <s v="Dr. Patel"/>
    <n v="30738"/>
    <x v="2"/>
    <x v="1"/>
    <x v="0"/>
    <d v="2024-04-03T00:00:00"/>
    <d v="2024-05-03T03:00:00"/>
    <s v="CT Scan"/>
    <s v="Accepted"/>
    <s v="Afternoon"/>
    <n v="8"/>
    <n v="12"/>
    <s v="Plan B"/>
    <x v="6"/>
  </r>
  <r>
    <x v="100"/>
    <x v="36"/>
    <x v="3"/>
    <x v="87"/>
    <d v="2023-03-18T00:00:00"/>
    <x v="0"/>
    <x v="4"/>
    <n v="1"/>
    <s v="Dr. Sharma"/>
    <n v="11772"/>
    <x v="2"/>
    <x v="0"/>
    <x v="0"/>
    <d v="2023-05-03T00:00:00"/>
    <d v="2023-06-03T01:00:00"/>
    <s v="MRI"/>
    <s v="Accepted"/>
    <s v="Night"/>
    <n v="11"/>
    <n v="10"/>
    <s v="Plan A"/>
    <x v="11"/>
  </r>
  <r>
    <x v="101"/>
    <x v="8"/>
    <x v="1"/>
    <x v="88"/>
    <d v="2024-02-13T00:00:00"/>
    <x v="13"/>
    <x v="4"/>
    <n v="3"/>
    <s v="Dr. Patel"/>
    <n v="29874"/>
    <x v="1"/>
    <x v="1"/>
    <x v="0"/>
    <d v="2024-01-29T00:00:00"/>
    <d v="2024-01-29T06:00:00"/>
    <s v="MRI"/>
    <s v="Accepted"/>
    <s v="Night"/>
    <n v="11"/>
    <n v="10"/>
    <s v="Plan A"/>
    <x v="10"/>
  </r>
  <r>
    <x v="102"/>
    <x v="60"/>
    <x v="1"/>
    <x v="89"/>
    <d v="2024-01-27T00:00:00"/>
    <x v="4"/>
    <x v="0"/>
    <n v="3"/>
    <s v="Dr. Mehta"/>
    <n v="24731"/>
    <x v="0"/>
    <x v="1"/>
    <x v="1"/>
    <d v="2024-01-22T00:00:00"/>
    <d v="2024-01-23T23:00:00"/>
    <s v="Ultrasound"/>
    <s v="Accepted"/>
    <s v="Night"/>
    <n v="5"/>
    <n v="10"/>
    <s v="Plan C"/>
    <x v="10"/>
  </r>
  <r>
    <x v="103"/>
    <x v="40"/>
    <x v="4"/>
    <x v="90"/>
    <d v="2024-04-27T00:00:00"/>
    <x v="3"/>
    <x v="4"/>
    <n v="2"/>
    <s v="Dr. Mehta"/>
    <n v="15131"/>
    <x v="1"/>
    <x v="0"/>
    <x v="1"/>
    <d v="2024-04-19T00:00:00"/>
    <d v="2024-04-20T12:00:00"/>
    <s v="Blood Test"/>
    <s v="Accepted"/>
    <s v="Morning"/>
    <n v="8"/>
    <n v="12"/>
    <s v="Plan C"/>
    <x v="13"/>
  </r>
  <r>
    <x v="104"/>
    <x v="8"/>
    <x v="0"/>
    <x v="91"/>
    <d v="2023-09-16T00:00:00"/>
    <x v="4"/>
    <x v="0"/>
    <n v="5"/>
    <s v="Dr. Gupta"/>
    <n v="5788"/>
    <x v="2"/>
    <x v="1"/>
    <x v="1"/>
    <d v="2023-11-09T00:00:00"/>
    <d v="2023-11-09T16:00:00"/>
    <s v="CT Scan"/>
    <s v="Accepted"/>
    <s v="Morning"/>
    <n v="10"/>
    <n v="12"/>
    <s v="Plan A"/>
    <x v="2"/>
  </r>
  <r>
    <x v="105"/>
    <x v="48"/>
    <x v="3"/>
    <x v="92"/>
    <d v="2023-01-18T00:00:00"/>
    <x v="10"/>
    <x v="3"/>
    <n v="4"/>
    <s v="Dr. Rao"/>
    <n v="21184"/>
    <x v="3"/>
    <x v="0"/>
    <x v="0"/>
    <d v="2023-11-01T00:00:00"/>
    <d v="2023-12-01T13:00:00"/>
    <s v="Ultrasound"/>
    <s v="Accepted"/>
    <s v="Afternoon"/>
    <n v="10"/>
    <n v="10"/>
    <s v="Plan A"/>
    <x v="9"/>
  </r>
  <r>
    <x v="106"/>
    <x v="61"/>
    <x v="2"/>
    <x v="93"/>
    <d v="2023-11-05T00:00:00"/>
    <x v="14"/>
    <x v="3"/>
    <n v="4"/>
    <s v="Dr. Gupta"/>
    <n v="35897"/>
    <x v="4"/>
    <x v="0"/>
    <x v="0"/>
    <d v="2023-04-27T00:00:00"/>
    <d v="2023-04-28T10:00:00"/>
    <s v="Ultrasound"/>
    <s v="Accepted"/>
    <s v="Afternoon"/>
    <n v="5"/>
    <n v="8"/>
    <s v="Plan B"/>
    <x v="0"/>
  </r>
  <r>
    <x v="107"/>
    <x v="43"/>
    <x v="0"/>
    <x v="53"/>
    <d v="2023-10-14T00:00:00"/>
    <x v="14"/>
    <x v="4"/>
    <n v="4"/>
    <s v="Dr. Patel"/>
    <n v="7889"/>
    <x v="3"/>
    <x v="0"/>
    <x v="0"/>
    <d v="2023-09-28T00:00:00"/>
    <d v="2023-09-28T11:00:00"/>
    <s v="MRI"/>
    <s v="Accepted"/>
    <s v="Afternoon"/>
    <n v="10"/>
    <n v="12"/>
    <s v="Plan B"/>
    <x v="1"/>
  </r>
  <r>
    <x v="108"/>
    <x v="40"/>
    <x v="0"/>
    <x v="23"/>
    <d v="2023-12-19T00:00:00"/>
    <x v="7"/>
    <x v="3"/>
    <n v="1"/>
    <s v="Dr. Gupta"/>
    <n v="14569"/>
    <x v="3"/>
    <x v="0"/>
    <x v="0"/>
    <d v="2023-11-12T00:00:00"/>
    <d v="2023-12-12T20:00:00"/>
    <s v="X-Ray"/>
    <s v="Accepted"/>
    <s v="Morning"/>
    <n v="10"/>
    <n v="10"/>
    <s v="Plan A"/>
    <x v="9"/>
  </r>
  <r>
    <x v="109"/>
    <x v="41"/>
    <x v="3"/>
    <x v="0"/>
    <d v="2023-05-05T00:00:00"/>
    <x v="12"/>
    <x v="5"/>
    <n v="4"/>
    <s v="Dr. Sharma"/>
    <n v="26657"/>
    <x v="2"/>
    <x v="1"/>
    <x v="0"/>
    <d v="2023-04-25T00:00:00"/>
    <d v="2023-04-26T01:00:00"/>
    <s v="CT Scan"/>
    <s v="Accepted"/>
    <s v="Afternoon"/>
    <n v="7"/>
    <n v="10"/>
    <s v="Plan C"/>
    <x v="0"/>
  </r>
  <r>
    <x v="110"/>
    <x v="41"/>
    <x v="4"/>
    <x v="38"/>
    <d v="2023-03-11T00:00:00"/>
    <x v="10"/>
    <x v="0"/>
    <n v="4"/>
    <s v="Dr. Patel"/>
    <n v="15141"/>
    <x v="1"/>
    <x v="1"/>
    <x v="1"/>
    <d v="2023-10-28T00:00:00"/>
    <d v="2023-10-28T11:00:00"/>
    <s v="X-Ray"/>
    <s v="Accepted"/>
    <s v="Afternoon"/>
    <n v="7"/>
    <n v="12"/>
    <s v="Plan A"/>
    <x v="15"/>
  </r>
  <r>
    <x v="111"/>
    <x v="18"/>
    <x v="4"/>
    <x v="94"/>
    <d v="2024-03-22T00:00:00"/>
    <x v="4"/>
    <x v="0"/>
    <n v="2"/>
    <s v="Dr. Mehta"/>
    <n v="24656"/>
    <x v="0"/>
    <x v="0"/>
    <x v="1"/>
    <d v="2024-03-17T00:00:00"/>
    <d v="2024-03-17T09:00:00"/>
    <s v="CT Scan"/>
    <s v="Accepted"/>
    <s v="Morning"/>
    <n v="4"/>
    <n v="8"/>
    <s v="Plan A"/>
    <x v="16"/>
  </r>
  <r>
    <x v="112"/>
    <x v="62"/>
    <x v="4"/>
    <x v="95"/>
    <d v="2023-06-14T00:00:00"/>
    <x v="3"/>
    <x v="4"/>
    <n v="3"/>
    <s v="Dr. Rao"/>
    <n v="26618"/>
    <x v="3"/>
    <x v="1"/>
    <x v="0"/>
    <d v="2023-10-06T00:00:00"/>
    <d v="2023-10-06T18:00:00"/>
    <s v="Blood Test"/>
    <s v="Accepted"/>
    <s v="Night"/>
    <n v="7"/>
    <n v="10"/>
    <s v="Plan C"/>
    <x v="14"/>
  </r>
  <r>
    <x v="113"/>
    <x v="56"/>
    <x v="4"/>
    <x v="47"/>
    <d v="2024-04-14T00:00:00"/>
    <x v="5"/>
    <x v="3"/>
    <n v="4"/>
    <s v="Dr. Patel"/>
    <n v="16934"/>
    <x v="1"/>
    <x v="1"/>
    <x v="0"/>
    <d v="2024-07-04T00:00:00"/>
    <d v="2024-07-04T20:00:00"/>
    <s v="MRI"/>
    <s v="Accepted"/>
    <s v="Morning"/>
    <n v="6"/>
    <n v="8"/>
    <s v="Plan C"/>
    <x v="18"/>
  </r>
  <r>
    <x v="114"/>
    <x v="63"/>
    <x v="1"/>
    <x v="96"/>
    <d v="2023-05-01T00:00:00"/>
    <x v="4"/>
    <x v="2"/>
    <n v="5"/>
    <s v="Dr. Patel"/>
    <n v="47537"/>
    <x v="0"/>
    <x v="0"/>
    <x v="0"/>
    <d v="2023-03-01T00:00:00"/>
    <d v="2023-03-01T18:00:00"/>
    <s v="Blood Test"/>
    <s v="Accepted"/>
    <s v="Afternoon"/>
    <n v="8"/>
    <n v="8"/>
    <s v="Plan B"/>
    <x v="0"/>
  </r>
  <r>
    <x v="115"/>
    <x v="30"/>
    <x v="4"/>
    <x v="77"/>
    <d v="2023-09-30T00:00:00"/>
    <x v="3"/>
    <x v="0"/>
    <n v="4"/>
    <s v="Dr. Sharma"/>
    <n v="28286"/>
    <x v="3"/>
    <x v="1"/>
    <x v="1"/>
    <d v="2023-09-26T00:00:00"/>
    <d v="2023-09-27T08:00:00"/>
    <s v="Ultrasound"/>
    <s v="Accepted"/>
    <s v="Morning"/>
    <n v="8"/>
    <n v="12"/>
    <s v="Plan B"/>
    <x v="2"/>
  </r>
  <r>
    <x v="116"/>
    <x v="31"/>
    <x v="1"/>
    <x v="97"/>
    <d v="2024-08-06T00:00:00"/>
    <x v="11"/>
    <x v="4"/>
    <n v="1"/>
    <s v="Dr. Rao"/>
    <n v="12612"/>
    <x v="0"/>
    <x v="0"/>
    <x v="0"/>
    <d v="2024-05-25T00:00:00"/>
    <d v="2024-05-25T10:00:00"/>
    <s v="MRI"/>
    <s v="Accepted"/>
    <s v="Night"/>
    <n v="5"/>
    <n v="10"/>
    <s v="Plan B"/>
    <x v="12"/>
  </r>
  <r>
    <x v="117"/>
    <x v="2"/>
    <x v="1"/>
    <x v="98"/>
    <d v="2023-09-07T00:00:00"/>
    <x v="1"/>
    <x v="4"/>
    <n v="1"/>
    <s v="Dr. Mehta"/>
    <n v="37069"/>
    <x v="1"/>
    <x v="0"/>
    <x v="0"/>
    <d v="2023-06-27T00:00:00"/>
    <d v="2023-06-27T05:00:00"/>
    <s v="Ultrasound"/>
    <s v="Accepted"/>
    <s v="Night"/>
    <n v="7"/>
    <n v="10"/>
    <s v="Plan B"/>
    <x v="7"/>
  </r>
  <r>
    <x v="118"/>
    <x v="64"/>
    <x v="4"/>
    <x v="99"/>
    <d v="2024-12-06T00:00:00"/>
    <x v="9"/>
    <x v="5"/>
    <n v="1"/>
    <s v="Dr. Patel"/>
    <n v="21205"/>
    <x v="4"/>
    <x v="0"/>
    <x v="1"/>
    <d v="2024-02-06T00:00:00"/>
    <d v="2024-02-06T11:00:00"/>
    <s v="Blood Test"/>
    <s v="Accepted"/>
    <s v="Night"/>
    <n v="4"/>
    <n v="8"/>
    <s v="Plan C"/>
    <x v="16"/>
  </r>
  <r>
    <x v="119"/>
    <x v="49"/>
    <x v="5"/>
    <x v="100"/>
    <d v="2023-04-21T00:00:00"/>
    <x v="2"/>
    <x v="1"/>
    <n v="4"/>
    <s v="Dr. Patel"/>
    <n v="32331"/>
    <x v="1"/>
    <x v="0"/>
    <x v="0"/>
    <d v="2023-04-17T00:00:00"/>
    <d v="2023-04-18T04:00:00"/>
    <s v="CT Scan"/>
    <s v="Accepted"/>
    <s v="Night"/>
    <n v="10"/>
    <n v="12"/>
    <s v="Plan A"/>
    <x v="0"/>
  </r>
  <r>
    <x v="120"/>
    <x v="18"/>
    <x v="2"/>
    <x v="101"/>
    <d v="2023-11-14T00:00:00"/>
    <x v="11"/>
    <x v="1"/>
    <n v="2"/>
    <s v="Dr. Sharma"/>
    <n v="18934"/>
    <x v="2"/>
    <x v="0"/>
    <x v="0"/>
    <d v="2023-10-29T00:00:00"/>
    <d v="2023-10-29T18:00:00"/>
    <s v="Ultrasound"/>
    <s v="Accepted"/>
    <s v="Night"/>
    <n v="4"/>
    <n v="12"/>
    <s v="Plan B"/>
    <x v="7"/>
  </r>
  <r>
    <x v="121"/>
    <x v="51"/>
    <x v="0"/>
    <x v="99"/>
    <d v="2024-05-06T00:00:00"/>
    <x v="2"/>
    <x v="0"/>
    <n v="5"/>
    <s v="Dr. Gupta"/>
    <n v="15095"/>
    <x v="0"/>
    <x v="0"/>
    <x v="0"/>
    <d v="2024-01-06T00:00:00"/>
    <d v="2024-02-06T03:00:00"/>
    <s v="X-Ray"/>
    <s v="Accepted"/>
    <s v="Night"/>
    <n v="4"/>
    <n v="12"/>
    <s v="Plan B"/>
    <x v="16"/>
  </r>
  <r>
    <x v="122"/>
    <x v="65"/>
    <x v="1"/>
    <x v="16"/>
    <d v="2023-07-31T00:00:00"/>
    <x v="6"/>
    <x v="5"/>
    <n v="4"/>
    <s v="Dr. Mehta"/>
    <n v="30958"/>
    <x v="4"/>
    <x v="1"/>
    <x v="1"/>
    <d v="2023-07-23T00:00:00"/>
    <d v="2023-07-23T20:00:00"/>
    <s v="CT Scan"/>
    <s v="Accepted"/>
    <s v="Afternoon"/>
    <n v="9"/>
    <n v="8"/>
    <s v="Plan C"/>
    <x v="11"/>
  </r>
  <r>
    <x v="123"/>
    <x v="26"/>
    <x v="3"/>
    <x v="86"/>
    <d v="2023-06-14T00:00:00"/>
    <x v="6"/>
    <x v="5"/>
    <n v="2"/>
    <s v="Dr. Rao"/>
    <n v="42008"/>
    <x v="0"/>
    <x v="1"/>
    <x v="0"/>
    <d v="2023-04-06T00:00:00"/>
    <d v="2023-05-06T07:00:00"/>
    <s v="CT Scan"/>
    <s v="Accepted"/>
    <s v="Afternoon"/>
    <n v="10"/>
    <n v="8"/>
    <s v="Plan C"/>
    <x v="8"/>
  </r>
  <r>
    <x v="124"/>
    <x v="8"/>
    <x v="3"/>
    <x v="102"/>
    <d v="2024-01-31T00:00:00"/>
    <x v="14"/>
    <x v="5"/>
    <n v="2"/>
    <s v="Dr. Patel"/>
    <n v="23706"/>
    <x v="0"/>
    <x v="0"/>
    <x v="0"/>
    <d v="2024-01-17T00:00:00"/>
    <d v="2024-01-17T05:00:00"/>
    <s v="Blood Test"/>
    <s v="Accepted"/>
    <s v="Morning"/>
    <n v="6"/>
    <n v="10"/>
    <s v="Plan A"/>
    <x v="10"/>
  </r>
  <r>
    <x v="125"/>
    <x v="66"/>
    <x v="2"/>
    <x v="103"/>
    <d v="2023-06-21T00:00:00"/>
    <x v="10"/>
    <x v="0"/>
    <n v="4"/>
    <s v="Dr. Patel"/>
    <n v="48516"/>
    <x v="3"/>
    <x v="0"/>
    <x v="0"/>
    <d v="2023-10-06T00:00:00"/>
    <d v="2023-11-06T00:00:00"/>
    <s v="Blood Test"/>
    <s v="Accepted"/>
    <s v="Afternoon"/>
    <n v="7"/>
    <n v="12"/>
    <s v="Plan A"/>
    <x v="8"/>
  </r>
  <r>
    <x v="126"/>
    <x v="39"/>
    <x v="3"/>
    <x v="104"/>
    <d v="2023-10-01T00:00:00"/>
    <x v="9"/>
    <x v="1"/>
    <n v="4"/>
    <s v="Dr. Mehta"/>
    <n v="43066"/>
    <x v="2"/>
    <x v="1"/>
    <x v="0"/>
    <d v="2022-12-28T00:00:00"/>
    <d v="2022-12-28T17:00:00"/>
    <s v="MRI"/>
    <s v="Accepted"/>
    <s v="Night"/>
    <n v="10"/>
    <n v="8"/>
    <s v="Plan C"/>
    <x v="1"/>
  </r>
  <r>
    <x v="127"/>
    <x v="67"/>
    <x v="5"/>
    <x v="105"/>
    <d v="2023-08-12T00:00:00"/>
    <x v="12"/>
    <x v="5"/>
    <n v="2"/>
    <s v="Dr. Gupta"/>
    <n v="36472"/>
    <x v="0"/>
    <x v="1"/>
    <x v="0"/>
    <d v="2023-11-26T00:00:00"/>
    <d v="2023-11-26T16:00:00"/>
    <s v="MRI"/>
    <s v="Rejected"/>
    <s v="Afternoon"/>
    <n v="4"/>
    <n v="12"/>
    <s v="Plan B"/>
    <x v="14"/>
  </r>
  <r>
    <x v="128"/>
    <x v="41"/>
    <x v="3"/>
    <x v="106"/>
    <d v="2024-05-17T00:00:00"/>
    <x v="2"/>
    <x v="3"/>
    <n v="2"/>
    <s v="Dr. Patel"/>
    <n v="39629"/>
    <x v="1"/>
    <x v="1"/>
    <x v="0"/>
    <d v="2024-05-14T00:00:00"/>
    <d v="2024-05-15T23:00:00"/>
    <s v="X-Ray"/>
    <s v="Accepted"/>
    <s v="Morning"/>
    <n v="10"/>
    <n v="8"/>
    <s v="Plan B"/>
    <x v="12"/>
  </r>
  <r>
    <x v="129"/>
    <x v="59"/>
    <x v="0"/>
    <x v="107"/>
    <d v="2023-01-28T00:00:00"/>
    <x v="6"/>
    <x v="4"/>
    <n v="2"/>
    <s v="Dr. Mehta"/>
    <n v="28004"/>
    <x v="1"/>
    <x v="1"/>
    <x v="0"/>
    <d v="2023-01-15T00:00:00"/>
    <d v="2023-01-16T17:00:00"/>
    <s v="CT Scan"/>
    <s v="Accepted"/>
    <s v="Night"/>
    <n v="6"/>
    <n v="10"/>
    <s v="Plan B"/>
    <x v="1"/>
  </r>
  <r>
    <x v="130"/>
    <x v="27"/>
    <x v="0"/>
    <x v="0"/>
    <d v="2023-04-05T00:00:00"/>
    <x v="9"/>
    <x v="4"/>
    <n v="4"/>
    <s v="Dr. Sharma"/>
    <n v="25431"/>
    <x v="3"/>
    <x v="0"/>
    <x v="0"/>
    <d v="2023-04-23T00:00:00"/>
    <d v="2023-04-24T08:00:00"/>
    <s v="X-Ray"/>
    <s v="Accepted"/>
    <s v="Afternoon"/>
    <n v="8"/>
    <n v="12"/>
    <s v="Plan A"/>
    <x v="0"/>
  </r>
  <r>
    <x v="131"/>
    <x v="42"/>
    <x v="1"/>
    <x v="108"/>
    <d v="2024-11-01T00:00:00"/>
    <x v="7"/>
    <x v="2"/>
    <n v="2"/>
    <s v="Dr. Gupta"/>
    <n v="45088"/>
    <x v="2"/>
    <x v="0"/>
    <x v="1"/>
    <d v="2024-03-01T00:00:00"/>
    <d v="2024-04-01T15:00:00"/>
    <s v="X-Ray"/>
    <s v="Rejected"/>
    <s v="Afternoon"/>
    <n v="5"/>
    <n v="8"/>
    <s v="Plan B"/>
    <x v="21"/>
  </r>
  <r>
    <x v="132"/>
    <x v="10"/>
    <x v="4"/>
    <x v="109"/>
    <d v="2023-11-21T00:00:00"/>
    <x v="12"/>
    <x v="2"/>
    <n v="1"/>
    <s v="Dr. Rao"/>
    <n v="49135"/>
    <x v="2"/>
    <x v="1"/>
    <x v="0"/>
    <d v="2023-07-11T00:00:00"/>
    <d v="2023-08-11T16:00:00"/>
    <s v="Blood Test"/>
    <s v="Accepted"/>
    <s v="Morning"/>
    <n v="7"/>
    <n v="12"/>
    <s v="Plan B"/>
    <x v="14"/>
  </r>
  <r>
    <x v="133"/>
    <x v="60"/>
    <x v="5"/>
    <x v="110"/>
    <d v="2023-04-09T00:00:00"/>
    <x v="4"/>
    <x v="0"/>
    <n v="4"/>
    <s v="Dr. Patel"/>
    <n v="43015"/>
    <x v="1"/>
    <x v="0"/>
    <x v="1"/>
    <d v="2023-03-09T00:00:00"/>
    <d v="2023-03-09T13:00:00"/>
    <s v="X-Ray"/>
    <s v="Accepted"/>
    <s v="Night"/>
    <n v="7"/>
    <n v="8"/>
    <s v="Plan C"/>
    <x v="5"/>
  </r>
  <r>
    <x v="134"/>
    <x v="62"/>
    <x v="1"/>
    <x v="111"/>
    <d v="2023-03-13T00:00:00"/>
    <x v="11"/>
    <x v="0"/>
    <n v="1"/>
    <s v="Dr. Mehta"/>
    <n v="39502"/>
    <x v="4"/>
    <x v="1"/>
    <x v="0"/>
    <d v="2023-02-25T00:00:00"/>
    <d v="2023-02-26T06:00:00"/>
    <s v="X-Ray"/>
    <s v="Accepted"/>
    <s v="Morning"/>
    <n v="9"/>
    <n v="8"/>
    <s v="Plan B"/>
    <x v="1"/>
  </r>
  <r>
    <x v="135"/>
    <x v="35"/>
    <x v="5"/>
    <x v="112"/>
    <d v="2023-09-17T00:00:00"/>
    <x v="14"/>
    <x v="4"/>
    <n v="3"/>
    <s v="Dr. Sharma"/>
    <n v="36385"/>
    <x v="3"/>
    <x v="0"/>
    <x v="0"/>
    <d v="2023-08-30T00:00:00"/>
    <d v="2023-08-30T07:00:00"/>
    <s v="Ultrasound"/>
    <s v="Accepted"/>
    <s v="Night"/>
    <n v="8"/>
    <n v="8"/>
    <s v="Plan C"/>
    <x v="0"/>
  </r>
  <r>
    <x v="136"/>
    <x v="68"/>
    <x v="4"/>
    <x v="37"/>
    <d v="2023-06-04T00:00:00"/>
    <x v="8"/>
    <x v="3"/>
    <n v="4"/>
    <s v="Dr. Rao"/>
    <n v="9663"/>
    <x v="3"/>
    <x v="1"/>
    <x v="0"/>
    <d v="2023-03-21T00:00:00"/>
    <d v="2023-03-21T09:00:00"/>
    <s v="MRI"/>
    <s v="Accepted"/>
    <s v="Night"/>
    <n v="7"/>
    <n v="12"/>
    <s v="Plan B"/>
    <x v="5"/>
  </r>
  <r>
    <x v="137"/>
    <x v="36"/>
    <x v="3"/>
    <x v="113"/>
    <d v="2023-12-04T00:00:00"/>
    <x v="13"/>
    <x v="1"/>
    <n v="3"/>
    <s v="Dr. Mehta"/>
    <n v="43677"/>
    <x v="1"/>
    <x v="0"/>
    <x v="0"/>
    <d v="2023-03-25T00:00:00"/>
    <d v="2023-03-25T20:00:00"/>
    <s v="MRI"/>
    <s v="Accepted"/>
    <s v="Afternoon"/>
    <n v="9"/>
    <n v="8"/>
    <s v="Plan A"/>
    <x v="5"/>
  </r>
  <r>
    <x v="138"/>
    <x v="69"/>
    <x v="3"/>
    <x v="114"/>
    <d v="2024-05-23T00:00:00"/>
    <x v="0"/>
    <x v="1"/>
    <n v="2"/>
    <s v="Dr. Mehta"/>
    <n v="17818"/>
    <x v="1"/>
    <x v="1"/>
    <x v="0"/>
    <d v="2024-08-05T00:00:00"/>
    <d v="2024-08-05T01:00:00"/>
    <s v="CT Scan"/>
    <s v="Accepted"/>
    <s v="Morning"/>
    <n v="9"/>
    <n v="10"/>
    <s v="Plan B"/>
    <x v="22"/>
  </r>
  <r>
    <x v="139"/>
    <x v="1"/>
    <x v="4"/>
    <x v="115"/>
    <d v="2023-03-21T00:00:00"/>
    <x v="9"/>
    <x v="0"/>
    <n v="2"/>
    <s v="Dr. Rao"/>
    <n v="27686"/>
    <x v="4"/>
    <x v="1"/>
    <x v="1"/>
    <d v="2023-11-03T00:00:00"/>
    <d v="2023-12-03T02:00:00"/>
    <s v="MRI"/>
    <s v="Accepted"/>
    <s v="Morning"/>
    <n v="9"/>
    <n v="12"/>
    <s v="Plan B"/>
    <x v="9"/>
  </r>
  <r>
    <x v="140"/>
    <x v="24"/>
    <x v="1"/>
    <x v="116"/>
    <d v="2023-05-14T00:00:00"/>
    <x v="5"/>
    <x v="3"/>
    <n v="5"/>
    <s v="Dr. Sharma"/>
    <n v="28977"/>
    <x v="4"/>
    <x v="1"/>
    <x v="0"/>
    <d v="2023-08-05T00:00:00"/>
    <d v="2023-08-05T22:00:00"/>
    <s v="CT Scan"/>
    <s v="Accepted"/>
    <s v="Morning"/>
    <n v="11"/>
    <n v="10"/>
    <s v="Plan C"/>
    <x v="2"/>
  </r>
  <r>
    <x v="141"/>
    <x v="70"/>
    <x v="4"/>
    <x v="117"/>
    <d v="2023-05-20T00:00:00"/>
    <x v="6"/>
    <x v="0"/>
    <n v="2"/>
    <s v="Dr. Sharma"/>
    <n v="45931"/>
    <x v="2"/>
    <x v="1"/>
    <x v="0"/>
    <d v="2023-07-05T00:00:00"/>
    <d v="2023-08-05T16:00:00"/>
    <s v="Ultrasound"/>
    <s v="Accepted"/>
    <s v="Night"/>
    <n v="7"/>
    <n v="10"/>
    <s v="Plan C"/>
    <x v="9"/>
  </r>
  <r>
    <x v="142"/>
    <x v="28"/>
    <x v="2"/>
    <x v="118"/>
    <d v="2024-12-05T00:00:00"/>
    <x v="0"/>
    <x v="1"/>
    <n v="3"/>
    <s v="Dr. Gupta"/>
    <n v="23454"/>
    <x v="3"/>
    <x v="1"/>
    <x v="1"/>
    <d v="2024-04-27T00:00:00"/>
    <d v="2024-04-28T01:00:00"/>
    <s v="MRI"/>
    <s v="Accepted"/>
    <s v="Morning"/>
    <n v="7"/>
    <n v="12"/>
    <s v="Plan C"/>
    <x v="10"/>
  </r>
  <r>
    <x v="143"/>
    <x v="48"/>
    <x v="0"/>
    <x v="119"/>
    <d v="2023-06-20T00:00:00"/>
    <x v="4"/>
    <x v="0"/>
    <n v="2"/>
    <s v="Dr. Patel"/>
    <n v="18358"/>
    <x v="3"/>
    <x v="1"/>
    <x v="1"/>
    <d v="2023-06-14T00:00:00"/>
    <d v="2023-06-14T22:00:00"/>
    <s v="Ultrasound"/>
    <s v="Accepted"/>
    <s v="Night"/>
    <n v="7"/>
    <n v="8"/>
    <s v="Plan B"/>
    <x v="8"/>
  </r>
  <r>
    <x v="144"/>
    <x v="0"/>
    <x v="1"/>
    <x v="75"/>
    <d v="2023-09-30T00:00:00"/>
    <x v="4"/>
    <x v="5"/>
    <n v="4"/>
    <s v="Dr. Rao"/>
    <n v="11668"/>
    <x v="1"/>
    <x v="1"/>
    <x v="0"/>
    <d v="2023-09-25T00:00:00"/>
    <d v="2023-09-26T05:00:00"/>
    <s v="MRI"/>
    <s v="Accepted"/>
    <s v="Morning"/>
    <n v="6"/>
    <n v="10"/>
    <s v="Plan B"/>
    <x v="2"/>
  </r>
  <r>
    <x v="145"/>
    <x v="34"/>
    <x v="5"/>
    <x v="120"/>
    <d v="2024-02-07T00:00:00"/>
    <x v="6"/>
    <x v="0"/>
    <n v="2"/>
    <s v="Dr. Rao"/>
    <n v="45769"/>
    <x v="2"/>
    <x v="0"/>
    <x v="0"/>
    <d v="2024-06-22T00:00:00"/>
    <d v="2024-06-22T22:00:00"/>
    <s v="MRI"/>
    <s v="Accepted"/>
    <s v="Morning"/>
    <n v="9"/>
    <n v="12"/>
    <s v="Plan A"/>
    <x v="17"/>
  </r>
  <r>
    <x v="146"/>
    <x v="65"/>
    <x v="2"/>
    <x v="121"/>
    <d v="2024-03-23T00:00:00"/>
    <x v="13"/>
    <x v="4"/>
    <n v="5"/>
    <s v="Dr. Rao"/>
    <n v="14921"/>
    <x v="3"/>
    <x v="0"/>
    <x v="0"/>
    <d v="2024-05-03T00:00:00"/>
    <d v="2024-06-03T04:00:00"/>
    <s v="Ultrasound"/>
    <s v="Accepted"/>
    <s v="Afternoon"/>
    <n v="6"/>
    <n v="8"/>
    <s v="Plan B"/>
    <x v="18"/>
  </r>
  <r>
    <x v="147"/>
    <x v="1"/>
    <x v="1"/>
    <x v="68"/>
    <d v="2023-12-08T00:00:00"/>
    <x v="1"/>
    <x v="0"/>
    <n v="2"/>
    <s v="Dr. Sharma"/>
    <n v="39959"/>
    <x v="2"/>
    <x v="0"/>
    <x v="0"/>
    <d v="2023-05-08T00:00:00"/>
    <d v="2023-06-08T18:00:00"/>
    <s v="X-Ray"/>
    <s v="Accepted"/>
    <s v="Morning"/>
    <n v="5"/>
    <n v="12"/>
    <s v="Plan A"/>
    <x v="4"/>
  </r>
  <r>
    <x v="148"/>
    <x v="71"/>
    <x v="4"/>
    <x v="122"/>
    <d v="2023-01-08T00:00:00"/>
    <x v="1"/>
    <x v="4"/>
    <n v="3"/>
    <s v="Dr. Patel"/>
    <n v="37328"/>
    <x v="2"/>
    <x v="0"/>
    <x v="1"/>
    <d v="2023-07-25T00:00:00"/>
    <d v="2023-07-26T15:00:00"/>
    <s v="X-Ray"/>
    <s v="Accepted"/>
    <s v="Afternoon"/>
    <n v="7"/>
    <n v="12"/>
    <s v="Plan C"/>
    <x v="11"/>
  </r>
  <r>
    <x v="149"/>
    <x v="57"/>
    <x v="4"/>
    <x v="123"/>
    <d v="2023-11-27T00:00:00"/>
    <x v="0"/>
    <x v="3"/>
    <n v="3"/>
    <s v="Dr. Gupta"/>
    <n v="13859"/>
    <x v="1"/>
    <x v="1"/>
    <x v="0"/>
    <d v="2023-11-16T00:00:00"/>
    <d v="2023-11-16T09:00:00"/>
    <s v="X-Ray"/>
    <s v="Accepted"/>
    <s v="Afternoon"/>
    <n v="11"/>
    <n v="12"/>
    <s v="Plan C"/>
    <x v="14"/>
  </r>
  <r>
    <x v="150"/>
    <x v="44"/>
    <x v="4"/>
    <x v="79"/>
    <d v="2024-02-15T00:00:00"/>
    <x v="2"/>
    <x v="1"/>
    <n v="2"/>
    <s v="Dr. Mehta"/>
    <n v="28970"/>
    <x v="2"/>
    <x v="1"/>
    <x v="0"/>
    <d v="2024-02-13T00:00:00"/>
    <d v="2024-02-13T20:00:00"/>
    <s v="X-Ray"/>
    <s v="Accepted"/>
    <s v="Night"/>
    <n v="10"/>
    <n v="8"/>
    <s v="Plan C"/>
    <x v="19"/>
  </r>
  <r>
    <x v="151"/>
    <x v="72"/>
    <x v="4"/>
    <x v="102"/>
    <d v="2024-01-26T00:00:00"/>
    <x v="6"/>
    <x v="2"/>
    <n v="3"/>
    <s v="Dr. Mehta"/>
    <n v="13872"/>
    <x v="4"/>
    <x v="1"/>
    <x v="0"/>
    <d v="2024-01-13T00:00:00"/>
    <d v="2024-01-13T21:00:00"/>
    <s v="MRI"/>
    <s v="Accepted"/>
    <s v="Morning"/>
    <n v="8"/>
    <n v="10"/>
    <s v="Plan A"/>
    <x v="10"/>
  </r>
  <r>
    <x v="152"/>
    <x v="73"/>
    <x v="5"/>
    <x v="124"/>
    <d v="2024-05-04T00:00:00"/>
    <x v="11"/>
    <x v="2"/>
    <n v="3"/>
    <s v="Dr. Rao"/>
    <n v="24230"/>
    <x v="4"/>
    <x v="0"/>
    <x v="0"/>
    <d v="2024-03-20T00:00:00"/>
    <d v="2024-03-21T15:00:00"/>
    <s v="Blood Test"/>
    <s v="Accepted"/>
    <s v="Morning"/>
    <n v="11"/>
    <n v="10"/>
    <s v="Plan B"/>
    <x v="16"/>
  </r>
  <r>
    <x v="153"/>
    <x v="38"/>
    <x v="2"/>
    <x v="125"/>
    <d v="2024-06-28T00:00:00"/>
    <x v="8"/>
    <x v="1"/>
    <n v="5"/>
    <s v="Dr. Patel"/>
    <n v="31708"/>
    <x v="0"/>
    <x v="0"/>
    <x v="0"/>
    <d v="2024-11-06T00:00:00"/>
    <d v="2024-12-06T21:00:00"/>
    <s v="Ultrasound"/>
    <s v="Rejected"/>
    <s v="Morning"/>
    <n v="4"/>
    <n v="12"/>
    <s v="Plan C"/>
    <x v="17"/>
  </r>
  <r>
    <x v="154"/>
    <x v="23"/>
    <x v="3"/>
    <x v="126"/>
    <d v="2024-04-15T00:00:00"/>
    <x v="6"/>
    <x v="2"/>
    <n v="4"/>
    <s v="Dr. Sharma"/>
    <n v="23847"/>
    <x v="1"/>
    <x v="1"/>
    <x v="0"/>
    <d v="2024-02-04T00:00:00"/>
    <d v="2024-02-04T13:00:00"/>
    <s v="Blood Test"/>
    <s v="Accepted"/>
    <s v="Afternoon"/>
    <n v="5"/>
    <n v="12"/>
    <s v="Plan B"/>
    <x v="21"/>
  </r>
  <r>
    <x v="155"/>
    <x v="67"/>
    <x v="0"/>
    <x v="127"/>
    <d v="2023-06-05T00:00:00"/>
    <x v="2"/>
    <x v="0"/>
    <n v="5"/>
    <s v="Dr. Patel"/>
    <n v="32105"/>
    <x v="0"/>
    <x v="1"/>
    <x v="0"/>
    <d v="2023-03-05T00:00:00"/>
    <d v="2023-04-05T07:00:00"/>
    <s v="Blood Test"/>
    <s v="Accepted"/>
    <s v="Morning"/>
    <n v="10"/>
    <n v="8"/>
    <s v="Plan B"/>
    <x v="0"/>
  </r>
  <r>
    <x v="156"/>
    <x v="63"/>
    <x v="5"/>
    <x v="128"/>
    <d v="2023-09-26T00:00:00"/>
    <x v="8"/>
    <x v="3"/>
    <n v="1"/>
    <s v="Dr. Patel"/>
    <n v="9922"/>
    <x v="4"/>
    <x v="1"/>
    <x v="1"/>
    <d v="2023-07-09T00:00:00"/>
    <d v="2023-07-09T21:00:00"/>
    <s v="CT Scan"/>
    <s v="Accepted"/>
    <s v="Night"/>
    <n v="4"/>
    <n v="12"/>
    <s v="Plan C"/>
    <x v="14"/>
  </r>
  <r>
    <x v="157"/>
    <x v="74"/>
    <x v="5"/>
    <x v="129"/>
    <d v="2023-08-21T00:00:00"/>
    <x v="2"/>
    <x v="3"/>
    <n v="5"/>
    <s v="Dr. Sharma"/>
    <n v="9392"/>
    <x v="0"/>
    <x v="0"/>
    <x v="0"/>
    <d v="2023-08-16T00:00:00"/>
    <d v="2023-08-16T12:00:00"/>
    <s v="X-Ray"/>
    <s v="Accepted"/>
    <s v="Night"/>
    <n v="4"/>
    <n v="12"/>
    <s v="Plan A"/>
    <x v="3"/>
  </r>
  <r>
    <x v="158"/>
    <x v="24"/>
    <x v="3"/>
    <x v="87"/>
    <d v="2023-03-13T00:00:00"/>
    <x v="10"/>
    <x v="1"/>
    <n v="2"/>
    <s v="Dr. Rao"/>
    <n v="18541"/>
    <x v="1"/>
    <x v="1"/>
    <x v="0"/>
    <d v="2023-03-03T00:00:00"/>
    <d v="2023-04-03T02:00:00"/>
    <s v="MRI"/>
    <s v="Accepted"/>
    <s v="Morning"/>
    <n v="7"/>
    <n v="12"/>
    <s v="Plan B"/>
    <x v="11"/>
  </r>
  <r>
    <x v="159"/>
    <x v="58"/>
    <x v="3"/>
    <x v="130"/>
    <d v="2023-12-23T00:00:00"/>
    <x v="12"/>
    <x v="2"/>
    <n v="4"/>
    <s v="Dr. Patel"/>
    <n v="24551"/>
    <x v="1"/>
    <x v="1"/>
    <x v="0"/>
    <d v="2023-08-12T00:00:00"/>
    <d v="2023-08-12T21:00:00"/>
    <s v="X-Ray"/>
    <s v="Accepted"/>
    <s v="Afternoon"/>
    <n v="8"/>
    <n v="10"/>
    <s v="Plan C"/>
    <x v="9"/>
  </r>
  <r>
    <x v="160"/>
    <x v="26"/>
    <x v="0"/>
    <x v="131"/>
    <d v="2023-01-25T00:00:00"/>
    <x v="3"/>
    <x v="0"/>
    <n v="2"/>
    <s v="Dr. Mehta"/>
    <n v="24381"/>
    <x v="2"/>
    <x v="1"/>
    <x v="1"/>
    <d v="2023-01-22T00:00:00"/>
    <d v="2023-01-22T19:00:00"/>
    <s v="X-Ray"/>
    <s v="Accepted"/>
    <s v="Night"/>
    <n v="4"/>
    <n v="12"/>
    <s v="Plan B"/>
    <x v="1"/>
  </r>
  <r>
    <x v="161"/>
    <x v="75"/>
    <x v="0"/>
    <x v="132"/>
    <d v="2023-08-26T00:00:00"/>
    <x v="2"/>
    <x v="3"/>
    <n v="1"/>
    <s v="Dr. Sharma"/>
    <n v="40995"/>
    <x v="3"/>
    <x v="0"/>
    <x v="0"/>
    <d v="2023-08-21T00:00:00"/>
    <d v="2023-08-23T00:00:00"/>
    <s v="Blood Test"/>
    <s v="Accepted"/>
    <s v="Night"/>
    <n v="9"/>
    <n v="10"/>
    <s v="Plan B"/>
    <x v="3"/>
  </r>
  <r>
    <x v="162"/>
    <x v="46"/>
    <x v="3"/>
    <x v="18"/>
    <d v="2023-08-17T00:00:00"/>
    <x v="3"/>
    <x v="3"/>
    <n v="4"/>
    <s v="Dr. Gupta"/>
    <n v="27948"/>
    <x v="2"/>
    <x v="0"/>
    <x v="1"/>
    <d v="2023-09-08T00:00:00"/>
    <d v="2023-10-08T21:00:00"/>
    <s v="CT Scan"/>
    <s v="Accepted"/>
    <s v="Afternoon"/>
    <n v="10"/>
    <n v="8"/>
    <s v="Plan B"/>
    <x v="3"/>
  </r>
  <r>
    <x v="163"/>
    <x v="63"/>
    <x v="4"/>
    <x v="133"/>
    <d v="2023-01-13T00:00:00"/>
    <x v="5"/>
    <x v="5"/>
    <n v="3"/>
    <s v="Dr. Rao"/>
    <n v="31728"/>
    <x v="1"/>
    <x v="1"/>
    <x v="0"/>
    <d v="2023-04-01T00:00:00"/>
    <d v="2023-05-01T17:00:00"/>
    <s v="X-Ray"/>
    <s v="Accepted"/>
    <s v="Night"/>
    <n v="11"/>
    <n v="8"/>
    <s v="Plan B"/>
    <x v="3"/>
  </r>
  <r>
    <x v="164"/>
    <x v="63"/>
    <x v="5"/>
    <x v="134"/>
    <d v="2023-03-24T00:00:00"/>
    <x v="12"/>
    <x v="5"/>
    <n v="5"/>
    <s v="Dr. Sharma"/>
    <n v="7024"/>
    <x v="4"/>
    <x v="0"/>
    <x v="0"/>
    <d v="2023-12-03T00:00:00"/>
    <d v="2023-03-13T08:00:00"/>
    <s v="Ultrasound"/>
    <s v="Accepted"/>
    <s v="Afternoon"/>
    <n v="11"/>
    <n v="10"/>
    <s v="Plan B"/>
    <x v="5"/>
  </r>
  <r>
    <x v="165"/>
    <x v="39"/>
    <x v="1"/>
    <x v="135"/>
    <d v="2023-03-13T00:00:00"/>
    <x v="0"/>
    <x v="3"/>
    <n v="2"/>
    <s v="Dr. Gupta"/>
    <n v="21713"/>
    <x v="4"/>
    <x v="1"/>
    <x v="0"/>
    <d v="2023-02-25T00:00:00"/>
    <d v="2023-02-26T13:00:00"/>
    <s v="Ultrasound"/>
    <s v="Accepted"/>
    <s v="Night"/>
    <n v="4"/>
    <n v="10"/>
    <s v="Plan A"/>
    <x v="7"/>
  </r>
  <r>
    <x v="166"/>
    <x v="37"/>
    <x v="0"/>
    <x v="63"/>
    <d v="2023-02-09T00:00:00"/>
    <x v="12"/>
    <x v="1"/>
    <n v="1"/>
    <s v="Dr. Gupta"/>
    <n v="7486"/>
    <x v="2"/>
    <x v="0"/>
    <x v="1"/>
    <d v="2023-08-21T00:00:00"/>
    <d v="2023-08-21T16:00:00"/>
    <s v="X-Ray"/>
    <s v="Accepted"/>
    <s v="Afternoon"/>
    <n v="5"/>
    <n v="10"/>
    <s v="Plan A"/>
    <x v="3"/>
  </r>
  <r>
    <x v="167"/>
    <x v="14"/>
    <x v="0"/>
    <x v="136"/>
    <d v="2023-03-20T00:00:00"/>
    <x v="9"/>
    <x v="4"/>
    <n v="3"/>
    <s v="Dr. Patel"/>
    <n v="6155"/>
    <x v="1"/>
    <x v="0"/>
    <x v="0"/>
    <d v="2023-08-03T00:00:00"/>
    <d v="2023-08-03T21:00:00"/>
    <s v="Blood Test"/>
    <s v="Accepted"/>
    <s v="Night"/>
    <n v="8"/>
    <n v="10"/>
    <s v="Plan C"/>
    <x v="14"/>
  </r>
  <r>
    <x v="168"/>
    <x v="26"/>
    <x v="3"/>
    <x v="9"/>
    <d v="2023-02-14T00:00:00"/>
    <x v="11"/>
    <x v="4"/>
    <n v="5"/>
    <s v="Dr. Patel"/>
    <n v="15082"/>
    <x v="4"/>
    <x v="1"/>
    <x v="0"/>
    <d v="2023-01-02T00:00:00"/>
    <d v="2023-02-02T01:00:00"/>
    <s v="Blood Test"/>
    <s v="Accepted"/>
    <s v="Morning"/>
    <n v="8"/>
    <n v="12"/>
    <s v="Plan A"/>
    <x v="7"/>
  </r>
  <r>
    <x v="169"/>
    <x v="7"/>
    <x v="2"/>
    <x v="137"/>
    <d v="2023-11-12T00:00:00"/>
    <x v="10"/>
    <x v="0"/>
    <n v="3"/>
    <s v="Dr. Patel"/>
    <n v="42245"/>
    <x v="1"/>
    <x v="1"/>
    <x v="0"/>
    <d v="2023-11-30T00:00:00"/>
    <d v="2023-11-30T18:00:00"/>
    <s v="MRI"/>
    <s v="Accepted"/>
    <s v="Night"/>
    <n v="11"/>
    <n v="10"/>
    <s v="Plan A"/>
    <x v="4"/>
  </r>
  <r>
    <x v="170"/>
    <x v="21"/>
    <x v="1"/>
    <x v="134"/>
    <d v="2023-03-21T00:00:00"/>
    <x v="1"/>
    <x v="3"/>
    <n v="5"/>
    <s v="Dr. Sharma"/>
    <n v="23569"/>
    <x v="4"/>
    <x v="0"/>
    <x v="0"/>
    <d v="2023-11-03T00:00:00"/>
    <d v="2023-12-03T02:00:00"/>
    <s v="CT Scan"/>
    <s v="Accepted"/>
    <s v="Night"/>
    <n v="4"/>
    <n v="10"/>
    <s v="Plan A"/>
    <x v="5"/>
  </r>
  <r>
    <x v="171"/>
    <x v="26"/>
    <x v="1"/>
    <x v="138"/>
    <d v="2024-06-20T00:00:00"/>
    <x v="12"/>
    <x v="3"/>
    <n v="4"/>
    <s v="Dr. Sharma"/>
    <n v="12086"/>
    <x v="1"/>
    <x v="1"/>
    <x v="0"/>
    <d v="2024-08-06T00:00:00"/>
    <d v="2024-09-06T00:00:00"/>
    <s v="Blood Test"/>
    <s v="Accepted"/>
    <s v="Morning"/>
    <n v="8"/>
    <n v="10"/>
    <s v="Plan B"/>
    <x v="20"/>
  </r>
  <r>
    <x v="172"/>
    <x v="60"/>
    <x v="0"/>
    <x v="139"/>
    <d v="2023-10-09T00:00:00"/>
    <x v="9"/>
    <x v="3"/>
    <n v="3"/>
    <s v="Dr. Rao"/>
    <n v="7317"/>
    <x v="0"/>
    <x v="0"/>
    <x v="0"/>
    <d v="2023-08-29T00:00:00"/>
    <d v="2023-08-29T08:00:00"/>
    <s v="MRI"/>
    <s v="Rejected"/>
    <s v="Morning"/>
    <n v="5"/>
    <n v="12"/>
    <s v="Plan B"/>
    <x v="1"/>
  </r>
  <r>
    <x v="173"/>
    <x v="68"/>
    <x v="4"/>
    <x v="140"/>
    <d v="2023-10-18T00:00:00"/>
    <x v="5"/>
    <x v="1"/>
    <n v="3"/>
    <s v="Dr. Patel"/>
    <n v="41389"/>
    <x v="1"/>
    <x v="0"/>
    <x v="1"/>
    <d v="2023-10-13T00:00:00"/>
    <d v="2023-10-14T13:00:00"/>
    <s v="Ultrasound"/>
    <s v="Rejected"/>
    <s v="Morning"/>
    <n v="11"/>
    <n v="12"/>
    <s v="Plan C"/>
    <x v="15"/>
  </r>
  <r>
    <x v="174"/>
    <x v="26"/>
    <x v="2"/>
    <x v="114"/>
    <d v="2024-05-20T00:00:00"/>
    <x v="6"/>
    <x v="5"/>
    <n v="3"/>
    <s v="Dr. Gupta"/>
    <n v="9491"/>
    <x v="1"/>
    <x v="0"/>
    <x v="1"/>
    <d v="2024-07-05T00:00:00"/>
    <d v="2024-07-05T13:00:00"/>
    <s v="Ultrasound"/>
    <s v="Rejected"/>
    <s v="Morning"/>
    <n v="10"/>
    <n v="12"/>
    <s v="Plan C"/>
    <x v="22"/>
  </r>
  <r>
    <x v="175"/>
    <x v="70"/>
    <x v="1"/>
    <x v="141"/>
    <d v="2023-08-17T00:00:00"/>
    <x v="9"/>
    <x v="3"/>
    <n v="4"/>
    <s v="Dr. Mehta"/>
    <n v="20916"/>
    <x v="2"/>
    <x v="1"/>
    <x v="0"/>
    <d v="2023-08-08T00:00:00"/>
    <d v="2023-09-08T14:00:00"/>
    <s v="Ultrasound"/>
    <s v="Accepted"/>
    <s v="Afternoon"/>
    <n v="5"/>
    <n v="8"/>
    <s v="Plan C"/>
    <x v="3"/>
  </r>
  <r>
    <x v="176"/>
    <x v="10"/>
    <x v="0"/>
    <x v="142"/>
    <d v="2023-05-26T00:00:00"/>
    <x v="12"/>
    <x v="3"/>
    <n v="1"/>
    <s v="Dr. Rao"/>
    <n v="20248"/>
    <x v="0"/>
    <x v="1"/>
    <x v="0"/>
    <d v="2023-05-15T00:00:00"/>
    <d v="2023-05-16T11:00:00"/>
    <s v="X-Ray"/>
    <s v="Accepted"/>
    <s v="Afternoon"/>
    <n v="5"/>
    <n v="12"/>
    <s v="Plan B"/>
    <x v="4"/>
  </r>
  <r>
    <x v="177"/>
    <x v="76"/>
    <x v="1"/>
    <x v="143"/>
    <d v="2024-06-05T00:00:00"/>
    <x v="1"/>
    <x v="2"/>
    <n v="5"/>
    <s v="Dr. Sharma"/>
    <n v="7511"/>
    <x v="3"/>
    <x v="0"/>
    <x v="0"/>
    <d v="2024-04-26T00:00:00"/>
    <d v="2024-04-26T12:00:00"/>
    <s v="CT Scan"/>
    <s v="Accepted"/>
    <s v="Night"/>
    <n v="9"/>
    <n v="10"/>
    <s v="Plan A"/>
    <x v="13"/>
  </r>
  <r>
    <x v="178"/>
    <x v="2"/>
    <x v="2"/>
    <x v="144"/>
    <d v="2023-08-09T00:00:00"/>
    <x v="2"/>
    <x v="1"/>
    <n v="3"/>
    <s v="Dr. Rao"/>
    <n v="29226"/>
    <x v="2"/>
    <x v="1"/>
    <x v="1"/>
    <d v="2023-03-09T00:00:00"/>
    <d v="2023-04-09T20:00:00"/>
    <s v="MRI"/>
    <s v="Accepted"/>
    <s v="Night"/>
    <n v="7"/>
    <n v="12"/>
    <s v="Plan A"/>
    <x v="8"/>
  </r>
  <r>
    <x v="179"/>
    <x v="68"/>
    <x v="2"/>
    <x v="143"/>
    <d v="2024-12-05T00:00:00"/>
    <x v="14"/>
    <x v="0"/>
    <n v="4"/>
    <s v="Dr. Rao"/>
    <n v="30025"/>
    <x v="3"/>
    <x v="0"/>
    <x v="1"/>
    <d v="2024-04-26T00:00:00"/>
    <d v="2024-04-27T12:00:00"/>
    <s v="CT Scan"/>
    <s v="Accepted"/>
    <s v="Night"/>
    <n v="4"/>
    <n v="12"/>
    <s v="Plan B"/>
    <x v="13"/>
  </r>
  <r>
    <x v="180"/>
    <x v="36"/>
    <x v="5"/>
    <x v="145"/>
    <d v="2024-04-03T00:00:00"/>
    <x v="11"/>
    <x v="3"/>
    <n v="1"/>
    <s v="Dr. Rao"/>
    <n v="47314"/>
    <x v="4"/>
    <x v="0"/>
    <x v="0"/>
    <d v="2024-02-18T00:00:00"/>
    <d v="2024-02-18T02:00:00"/>
    <s v="X-Ray"/>
    <s v="Accepted"/>
    <s v="Afternoon"/>
    <n v="10"/>
    <n v="10"/>
    <s v="Plan C"/>
    <x v="19"/>
  </r>
  <r>
    <x v="181"/>
    <x v="26"/>
    <x v="3"/>
    <x v="146"/>
    <d v="2023-07-16T00:00:00"/>
    <x v="2"/>
    <x v="2"/>
    <n v="5"/>
    <s v="Dr. Rao"/>
    <n v="12848"/>
    <x v="3"/>
    <x v="1"/>
    <x v="1"/>
    <d v="2023-07-13T00:00:00"/>
    <d v="2023-07-14T23:00:00"/>
    <s v="MRI"/>
    <s v="Rejected"/>
    <s v="Night"/>
    <n v="11"/>
    <n v="12"/>
    <s v="Plan C"/>
    <x v="11"/>
  </r>
  <r>
    <x v="182"/>
    <x v="66"/>
    <x v="3"/>
    <x v="147"/>
    <d v="2023-04-21T00:00:00"/>
    <x v="13"/>
    <x v="4"/>
    <n v="4"/>
    <s v="Dr. Mehta"/>
    <n v="19274"/>
    <x v="1"/>
    <x v="0"/>
    <x v="0"/>
    <d v="2023-05-04T00:00:00"/>
    <d v="2023-06-04T06:00:00"/>
    <s v="MRI"/>
    <s v="Accepted"/>
    <s v="Night"/>
    <n v="8"/>
    <n v="8"/>
    <s v="Plan C"/>
    <x v="11"/>
  </r>
  <r>
    <x v="183"/>
    <x v="28"/>
    <x v="0"/>
    <x v="29"/>
    <d v="2023-04-21T00:00:00"/>
    <x v="0"/>
    <x v="0"/>
    <n v="5"/>
    <s v="Dr. Patel"/>
    <n v="35958"/>
    <x v="3"/>
    <x v="1"/>
    <x v="1"/>
    <d v="2023-06-04T00:00:00"/>
    <d v="2023-07-04T22:00:00"/>
    <s v="Blood Test"/>
    <s v="Rejected"/>
    <s v="Afternoon"/>
    <n v="5"/>
    <n v="12"/>
    <s v="Plan B"/>
    <x v="15"/>
  </r>
  <r>
    <x v="184"/>
    <x v="39"/>
    <x v="2"/>
    <x v="148"/>
    <d v="2024-03-28T00:00:00"/>
    <x v="0"/>
    <x v="3"/>
    <n v="3"/>
    <s v="Dr. Gupta"/>
    <n v="40233"/>
    <x v="2"/>
    <x v="1"/>
    <x v="0"/>
    <d v="2024-03-16T00:00:00"/>
    <d v="2024-03-16T14:00:00"/>
    <s v="CT Scan"/>
    <s v="Accepted"/>
    <s v="Night"/>
    <n v="11"/>
    <n v="8"/>
    <s v="Plan C"/>
    <x v="16"/>
  </r>
  <r>
    <x v="185"/>
    <x v="9"/>
    <x v="5"/>
    <x v="149"/>
    <d v="2024-01-13T00:00:00"/>
    <x v="8"/>
    <x v="3"/>
    <n v="1"/>
    <s v="Dr. Rao"/>
    <n v="21304"/>
    <x v="2"/>
    <x v="0"/>
    <x v="0"/>
    <d v="2023-12-27T00:00:00"/>
    <d v="2023-12-28T05:00:00"/>
    <s v="CT Scan"/>
    <s v="Accepted"/>
    <s v="Afternoon"/>
    <n v="4"/>
    <n v="8"/>
    <s v="Plan C"/>
    <x v="9"/>
  </r>
  <r>
    <x v="186"/>
    <x v="69"/>
    <x v="5"/>
    <x v="121"/>
    <d v="2024-03-22T00:00:00"/>
    <x v="14"/>
    <x v="2"/>
    <n v="4"/>
    <s v="Dr. Rao"/>
    <n v="16294"/>
    <x v="3"/>
    <x v="0"/>
    <x v="1"/>
    <d v="2024-04-03T00:00:00"/>
    <d v="2024-04-03T19:00:00"/>
    <s v="Blood Test"/>
    <s v="Accepted"/>
    <s v="Afternoon"/>
    <n v="10"/>
    <n v="8"/>
    <s v="Plan B"/>
    <x v="18"/>
  </r>
  <r>
    <x v="187"/>
    <x v="23"/>
    <x v="1"/>
    <x v="150"/>
    <d v="2024-05-03T00:00:00"/>
    <x v="9"/>
    <x v="1"/>
    <n v="1"/>
    <s v="Dr. Rao"/>
    <n v="31425"/>
    <x v="2"/>
    <x v="1"/>
    <x v="0"/>
    <d v="2024-02-23T00:00:00"/>
    <d v="2024-02-24T21:00:00"/>
    <s v="Ultrasound"/>
    <s v="Accepted"/>
    <s v="Morning"/>
    <n v="10"/>
    <n v="10"/>
    <s v="Plan A"/>
    <x v="19"/>
  </r>
  <r>
    <x v="188"/>
    <x v="73"/>
    <x v="1"/>
    <x v="151"/>
    <d v="2024-05-05T00:00:00"/>
    <x v="11"/>
    <x v="3"/>
    <n v="3"/>
    <s v="Dr. Patel"/>
    <n v="8175"/>
    <x v="2"/>
    <x v="0"/>
    <x v="1"/>
    <d v="2024-04-18T00:00:00"/>
    <d v="2024-04-18T05:00:00"/>
    <s v="X-Ray"/>
    <s v="Accepted"/>
    <s v="Morning"/>
    <n v="4"/>
    <n v="12"/>
    <s v="Plan B"/>
    <x v="13"/>
  </r>
  <r>
    <x v="189"/>
    <x v="8"/>
    <x v="5"/>
    <x v="152"/>
    <d v="2023-11-03T00:00:00"/>
    <x v="13"/>
    <x v="4"/>
    <n v="1"/>
    <s v="Dr. Sharma"/>
    <n v="45617"/>
    <x v="3"/>
    <x v="1"/>
    <x v="0"/>
    <d v="2023-02-23T00:00:00"/>
    <d v="2023-02-24T03:00:00"/>
    <s v="CT Scan"/>
    <s v="Accepted"/>
    <s v="Afternoon"/>
    <n v="7"/>
    <n v="8"/>
    <s v="Plan B"/>
    <x v="7"/>
  </r>
  <r>
    <x v="190"/>
    <x v="0"/>
    <x v="1"/>
    <x v="153"/>
    <d v="2023-04-15T00:00:00"/>
    <x v="7"/>
    <x v="3"/>
    <n v="1"/>
    <s v="Dr. Sharma"/>
    <n v="32775"/>
    <x v="0"/>
    <x v="1"/>
    <x v="0"/>
    <d v="2023-08-04T00:00:00"/>
    <d v="2023-09-04T20:00:00"/>
    <s v="Blood Test"/>
    <s v="Accepted"/>
    <s v="Afternoon"/>
    <n v="9"/>
    <n v="8"/>
    <s v="Plan B"/>
    <x v="14"/>
  </r>
  <r>
    <x v="191"/>
    <x v="26"/>
    <x v="2"/>
    <x v="154"/>
    <d v="2023-11-03T00:00:00"/>
    <x v="1"/>
    <x v="4"/>
    <n v="2"/>
    <s v="Dr. Mehta"/>
    <n v="14425"/>
    <x v="0"/>
    <x v="1"/>
    <x v="0"/>
    <d v="2023-03-03T00:00:00"/>
    <d v="2023-04-03T08:00:00"/>
    <s v="MRI"/>
    <s v="Accepted"/>
    <s v="Morning"/>
    <n v="8"/>
    <n v="12"/>
    <s v="Plan B"/>
    <x v="0"/>
  </r>
  <r>
    <x v="192"/>
    <x v="20"/>
    <x v="4"/>
    <x v="155"/>
    <d v="2024-02-25T00:00:00"/>
    <x v="6"/>
    <x v="0"/>
    <n v="1"/>
    <s v="Dr. Sharma"/>
    <n v="31013"/>
    <x v="4"/>
    <x v="0"/>
    <x v="0"/>
    <d v="2024-02-15T00:00:00"/>
    <d v="2024-02-15T09:00:00"/>
    <s v="Blood Test"/>
    <s v="Accepted"/>
    <s v="Night"/>
    <n v="9"/>
    <n v="10"/>
    <s v="Plan A"/>
    <x v="19"/>
  </r>
  <r>
    <x v="193"/>
    <x v="0"/>
    <x v="2"/>
    <x v="156"/>
    <d v="2023-12-29T00:00:00"/>
    <x v="8"/>
    <x v="0"/>
    <n v="5"/>
    <s v="Dr. Rao"/>
    <n v="32928"/>
    <x v="2"/>
    <x v="1"/>
    <x v="0"/>
    <d v="2023-10-12T00:00:00"/>
    <d v="2023-11-12T17:00:00"/>
    <s v="Ultrasound"/>
    <s v="Accepted"/>
    <s v="Night"/>
    <n v="10"/>
    <n v="10"/>
    <s v="Plan C"/>
    <x v="9"/>
  </r>
  <r>
    <x v="194"/>
    <x v="64"/>
    <x v="5"/>
    <x v="157"/>
    <d v="2023-04-26T00:00:00"/>
    <x v="7"/>
    <x v="5"/>
    <n v="4"/>
    <s v="Dr. Rao"/>
    <n v="49990"/>
    <x v="3"/>
    <x v="1"/>
    <x v="1"/>
    <d v="2023-04-18T00:00:00"/>
    <d v="2023-04-18T20:00:00"/>
    <s v="X-Ray"/>
    <s v="Accepted"/>
    <s v="Night"/>
    <n v="8"/>
    <n v="8"/>
    <s v="Plan B"/>
    <x v="0"/>
  </r>
  <r>
    <x v="195"/>
    <x v="32"/>
    <x v="5"/>
    <x v="158"/>
    <d v="2023-09-19T00:00:00"/>
    <x v="1"/>
    <x v="5"/>
    <n v="2"/>
    <s v="Dr. Rao"/>
    <n v="46212"/>
    <x v="2"/>
    <x v="1"/>
    <x v="1"/>
    <d v="2023-12-09T00:00:00"/>
    <d v="2023-12-09T16:00:00"/>
    <s v="Ultrasound"/>
    <s v="Accepted"/>
    <s v="Afternoon"/>
    <n v="10"/>
    <n v="10"/>
    <s v="Plan A"/>
    <x v="9"/>
  </r>
  <r>
    <x v="196"/>
    <x v="13"/>
    <x v="2"/>
    <x v="40"/>
    <d v="2023-07-22T00:00:00"/>
    <x v="10"/>
    <x v="4"/>
    <n v="4"/>
    <s v="Dr. Mehta"/>
    <n v="13210"/>
    <x v="1"/>
    <x v="0"/>
    <x v="0"/>
    <d v="2023-07-14T00:00:00"/>
    <d v="2023-07-14T17:00:00"/>
    <s v="MRI"/>
    <s v="Accepted"/>
    <s v="Morning"/>
    <n v="5"/>
    <n v="12"/>
    <s v="Plan C"/>
    <x v="11"/>
  </r>
  <r>
    <x v="197"/>
    <x v="10"/>
    <x v="1"/>
    <x v="146"/>
    <d v="2023-07-28T00:00:00"/>
    <x v="13"/>
    <x v="1"/>
    <n v="4"/>
    <s v="Dr. Rao"/>
    <n v="7759"/>
    <x v="2"/>
    <x v="1"/>
    <x v="0"/>
    <d v="2023-07-13T00:00:00"/>
    <d v="2023-07-14T19:00:00"/>
    <s v="MRI"/>
    <s v="Accepted"/>
    <s v="Night"/>
    <n v="5"/>
    <n v="10"/>
    <s v="Plan C"/>
    <x v="11"/>
  </r>
  <r>
    <x v="198"/>
    <x v="77"/>
    <x v="1"/>
    <x v="19"/>
    <d v="2024-12-04T00:00:00"/>
    <x v="6"/>
    <x v="3"/>
    <n v="3"/>
    <s v="Dr. Sharma"/>
    <n v="21091"/>
    <x v="2"/>
    <x v="1"/>
    <x v="0"/>
    <d v="2024-01-04T00:00:00"/>
    <d v="2024-01-04T10:00:00"/>
    <s v="MRI"/>
    <s v="Accepted"/>
    <s v="Morning"/>
    <n v="4"/>
    <n v="12"/>
    <s v="Plan C"/>
    <x v="13"/>
  </r>
  <r>
    <x v="199"/>
    <x v="43"/>
    <x v="3"/>
    <x v="159"/>
    <d v="2023-05-31T00:00:00"/>
    <x v="1"/>
    <x v="3"/>
    <n v="3"/>
    <s v="Dr. Patel"/>
    <n v="5002"/>
    <x v="0"/>
    <x v="1"/>
    <x v="0"/>
    <d v="2023-05-24T00:00:00"/>
    <d v="2023-05-25T22:00:00"/>
    <s v="MRI"/>
    <s v="Accepted"/>
    <s v="Morning"/>
    <n v="8"/>
    <n v="8"/>
    <s v="Plan B"/>
    <x v="4"/>
  </r>
  <r>
    <x v="200"/>
    <x v="23"/>
    <x v="5"/>
    <x v="8"/>
    <d v="2024-03-15T00:00:00"/>
    <x v="1"/>
    <x v="5"/>
    <n v="2"/>
    <s v="Dr. Patel"/>
    <n v="45958"/>
    <x v="3"/>
    <x v="1"/>
    <x v="0"/>
    <d v="2024-06-03T00:00:00"/>
    <d v="2024-07-03T04:00:00"/>
    <s v="Blood Test"/>
    <s v="Accepted"/>
    <s v="Afternoon"/>
    <n v="8"/>
    <n v="12"/>
    <s v="Plan B"/>
    <x v="6"/>
  </r>
  <r>
    <x v="201"/>
    <x v="13"/>
    <x v="0"/>
    <x v="160"/>
    <d v="2023-07-19T00:00:00"/>
    <x v="11"/>
    <x v="4"/>
    <n v="3"/>
    <s v="Dr. Gupta"/>
    <n v="35160"/>
    <x v="2"/>
    <x v="0"/>
    <x v="0"/>
    <d v="2023-04-07T00:00:00"/>
    <d v="2023-05-07T01:00:00"/>
    <s v="MRI"/>
    <s v="Accepted"/>
    <s v="Night"/>
    <n v="10"/>
    <n v="8"/>
    <s v="Plan C"/>
    <x v="11"/>
  </r>
  <r>
    <x v="202"/>
    <x v="13"/>
    <x v="3"/>
    <x v="140"/>
    <d v="2023-10-15T00:00:00"/>
    <x v="2"/>
    <x v="3"/>
    <n v="3"/>
    <s v="Dr. Sharma"/>
    <n v="25707"/>
    <x v="0"/>
    <x v="1"/>
    <x v="0"/>
    <d v="2023-12-10T00:00:00"/>
    <d v="2023-12-10T05:00:00"/>
    <s v="MRI"/>
    <s v="Accepted"/>
    <s v="Morning"/>
    <n v="9"/>
    <n v="12"/>
    <s v="Plan C"/>
    <x v="15"/>
  </r>
  <r>
    <x v="203"/>
    <x v="47"/>
    <x v="1"/>
    <x v="57"/>
    <d v="2024-04-24T00:00:00"/>
    <x v="10"/>
    <x v="3"/>
    <n v="3"/>
    <s v="Dr. Rao"/>
    <n v="20248"/>
    <x v="4"/>
    <x v="0"/>
    <x v="0"/>
    <d v="2024-04-17T00:00:00"/>
    <d v="2024-04-18T05:00:00"/>
    <s v="Blood Test"/>
    <s v="Accepted"/>
    <s v="Afternoon"/>
    <n v="5"/>
    <n v="12"/>
    <s v="Plan C"/>
    <x v="13"/>
  </r>
  <r>
    <x v="204"/>
    <x v="6"/>
    <x v="2"/>
    <x v="161"/>
    <d v="2023-09-20T00:00:00"/>
    <x v="1"/>
    <x v="1"/>
    <n v="4"/>
    <s v="Dr. Patel"/>
    <n v="10773"/>
    <x v="0"/>
    <x v="1"/>
    <x v="0"/>
    <d v="2023-09-13T00:00:00"/>
    <d v="2023-09-14T15:00:00"/>
    <s v="MRI"/>
    <s v="Accepted"/>
    <s v="Afternoon"/>
    <n v="6"/>
    <n v="10"/>
    <s v="Plan C"/>
    <x v="2"/>
  </r>
  <r>
    <x v="205"/>
    <x v="60"/>
    <x v="1"/>
    <x v="162"/>
    <d v="2023-03-25T00:00:00"/>
    <x v="10"/>
    <x v="2"/>
    <n v="2"/>
    <s v="Dr. Sharma"/>
    <n v="17786"/>
    <x v="0"/>
    <x v="0"/>
    <x v="1"/>
    <d v="2023-03-19T00:00:00"/>
    <d v="2023-03-20T07:00:00"/>
    <s v="Ultrasound"/>
    <s v="Rejected"/>
    <s v="Afternoon"/>
    <n v="4"/>
    <n v="12"/>
    <s v="Plan C"/>
    <x v="5"/>
  </r>
  <r>
    <x v="206"/>
    <x v="78"/>
    <x v="2"/>
    <x v="163"/>
    <d v="2024-09-04T00:00:00"/>
    <x v="0"/>
    <x v="5"/>
    <n v="4"/>
    <s v="Dr. Patel"/>
    <n v="20037"/>
    <x v="0"/>
    <x v="1"/>
    <x v="1"/>
    <d v="2024-03-27T00:00:00"/>
    <d v="2024-03-28T14:00:00"/>
    <s v="Ultrasound"/>
    <s v="Accepted"/>
    <s v="Night"/>
    <n v="11"/>
    <n v="8"/>
    <s v="Plan C"/>
    <x v="16"/>
  </r>
  <r>
    <x v="207"/>
    <x v="13"/>
    <x v="3"/>
    <x v="153"/>
    <d v="2023-04-16T00:00:00"/>
    <x v="5"/>
    <x v="5"/>
    <n v="5"/>
    <s v="Dr. Rao"/>
    <n v="6885"/>
    <x v="2"/>
    <x v="1"/>
    <x v="1"/>
    <d v="2023-08-04T00:00:00"/>
    <d v="2023-09-04T02:00:00"/>
    <s v="CT Scan"/>
    <s v="Accepted"/>
    <s v="Night"/>
    <n v="8"/>
    <n v="12"/>
    <s v="Plan A"/>
    <x v="14"/>
  </r>
  <r>
    <x v="208"/>
    <x v="12"/>
    <x v="5"/>
    <x v="164"/>
    <d v="2023-02-27T00:00:00"/>
    <x v="10"/>
    <x v="2"/>
    <n v="4"/>
    <s v="Dr. Patel"/>
    <n v="44828"/>
    <x v="2"/>
    <x v="1"/>
    <x v="1"/>
    <d v="2023-02-17T00:00:00"/>
    <d v="2023-02-18T11:00:00"/>
    <s v="Ultrasound"/>
    <s v="Accepted"/>
    <s v="Afternoon"/>
    <n v="7"/>
    <n v="8"/>
    <s v="Plan C"/>
    <x v="7"/>
  </r>
  <r>
    <x v="209"/>
    <x v="39"/>
    <x v="1"/>
    <x v="165"/>
    <d v="2023-01-19T00:00:00"/>
    <x v="3"/>
    <x v="3"/>
    <n v="5"/>
    <s v="Dr. Gupta"/>
    <n v="21331"/>
    <x v="4"/>
    <x v="0"/>
    <x v="0"/>
    <d v="2023-01-13T00:00:00"/>
    <d v="2023-01-14T09:00:00"/>
    <s v="X-Ray"/>
    <s v="Accepted"/>
    <s v="Night"/>
    <n v="7"/>
    <n v="8"/>
    <s v="Plan B"/>
    <x v="1"/>
  </r>
  <r>
    <x v="210"/>
    <x v="73"/>
    <x v="2"/>
    <x v="11"/>
    <d v="2023-04-17T00:00:00"/>
    <x v="0"/>
    <x v="1"/>
    <n v="1"/>
    <s v="Dr. Gupta"/>
    <n v="45612"/>
    <x v="1"/>
    <x v="0"/>
    <x v="0"/>
    <d v="2023-05-04T00:00:00"/>
    <d v="2023-06-04T21:00:00"/>
    <s v="X-Ray"/>
    <s v="Rejected"/>
    <s v="Night"/>
    <n v="6"/>
    <n v="12"/>
    <s v="Plan B"/>
    <x v="8"/>
  </r>
  <r>
    <x v="211"/>
    <x v="76"/>
    <x v="5"/>
    <x v="166"/>
    <d v="2023-09-15T00:00:00"/>
    <x v="8"/>
    <x v="1"/>
    <n v="1"/>
    <s v="Dr. Patel"/>
    <n v="27495"/>
    <x v="1"/>
    <x v="1"/>
    <x v="0"/>
    <d v="2023-08-30T00:00:00"/>
    <d v="2023-08-31T03:00:00"/>
    <s v="X-Ray"/>
    <s v="Accepted"/>
    <s v="Morning"/>
    <n v="5"/>
    <n v="10"/>
    <s v="Plan B"/>
    <x v="3"/>
  </r>
  <r>
    <x v="212"/>
    <x v="73"/>
    <x v="0"/>
    <x v="167"/>
    <d v="2023-06-28T00:00:00"/>
    <x v="6"/>
    <x v="5"/>
    <n v="5"/>
    <s v="Dr. Sharma"/>
    <n v="18450"/>
    <x v="1"/>
    <x v="0"/>
    <x v="0"/>
    <d v="2023-06-18T00:00:00"/>
    <d v="2023-06-19T11:00:00"/>
    <s v="Blood Test"/>
    <s v="Accepted"/>
    <s v="Afternoon"/>
    <n v="5"/>
    <n v="12"/>
    <s v="Plan C"/>
    <x v="8"/>
  </r>
  <r>
    <x v="213"/>
    <x v="79"/>
    <x v="2"/>
    <x v="145"/>
    <d v="2024-02-23T00:00:00"/>
    <x v="2"/>
    <x v="1"/>
    <n v="5"/>
    <s v="Dr. Sharma"/>
    <n v="14491"/>
    <x v="4"/>
    <x v="1"/>
    <x v="0"/>
    <d v="2024-02-17T00:00:00"/>
    <d v="2024-02-17T03:00:00"/>
    <s v="Ultrasound"/>
    <s v="Accepted"/>
    <s v="Afternoon"/>
    <n v="5"/>
    <n v="12"/>
    <s v="Plan B"/>
    <x v="19"/>
  </r>
  <r>
    <x v="214"/>
    <x v="29"/>
    <x v="3"/>
    <x v="114"/>
    <d v="2024-05-14T00:00:00"/>
    <x v="2"/>
    <x v="0"/>
    <n v="4"/>
    <s v="Dr. Sharma"/>
    <n v="14268"/>
    <x v="1"/>
    <x v="1"/>
    <x v="1"/>
    <d v="2024-07-05T00:00:00"/>
    <d v="2024-08-05T00:00:00"/>
    <s v="X-Ray"/>
    <s v="Accepted"/>
    <s v="Night"/>
    <n v="9"/>
    <n v="10"/>
    <s v="Plan A"/>
    <x v="22"/>
  </r>
  <r>
    <x v="215"/>
    <x v="7"/>
    <x v="0"/>
    <x v="168"/>
    <d v="2024-05-21T00:00:00"/>
    <x v="13"/>
    <x v="2"/>
    <n v="5"/>
    <s v="Dr. Patel"/>
    <n v="32757"/>
    <x v="1"/>
    <x v="1"/>
    <x v="1"/>
    <d v="2024-05-05T00:00:00"/>
    <d v="2024-06-05T21:00:00"/>
    <s v="CT Scan"/>
    <s v="Accepted"/>
    <s v="Afternoon"/>
    <n v="10"/>
    <n v="8"/>
    <s v="Plan C"/>
    <x v="21"/>
  </r>
  <r>
    <x v="216"/>
    <x v="77"/>
    <x v="0"/>
    <x v="169"/>
    <d v="2023-09-08T00:00:00"/>
    <x v="2"/>
    <x v="3"/>
    <n v="2"/>
    <s v="Dr. Sharma"/>
    <n v="46907"/>
    <x v="0"/>
    <x v="0"/>
    <x v="1"/>
    <d v="2023-06-08T00:00:00"/>
    <d v="2023-07-08T11:00:00"/>
    <s v="Blood Test"/>
    <s v="Accepted"/>
    <s v="Afternoon"/>
    <n v="7"/>
    <n v="12"/>
    <s v="Plan B"/>
    <x v="11"/>
  </r>
  <r>
    <x v="217"/>
    <x v="80"/>
    <x v="4"/>
    <x v="65"/>
    <d v="2024-02-17T00:00:00"/>
    <x v="2"/>
    <x v="0"/>
    <n v="1"/>
    <s v="Dr. Rao"/>
    <n v="11791"/>
    <x v="2"/>
    <x v="0"/>
    <x v="0"/>
    <d v="2024-02-14T00:00:00"/>
    <d v="2024-02-15T15:00:00"/>
    <s v="CT Scan"/>
    <s v="Accepted"/>
    <s v="Afternoon"/>
    <n v="5"/>
    <n v="10"/>
    <s v="Plan A"/>
    <x v="19"/>
  </r>
  <r>
    <x v="218"/>
    <x v="15"/>
    <x v="1"/>
    <x v="135"/>
    <d v="2023-09-03T00:00:00"/>
    <x v="1"/>
    <x v="2"/>
    <n v="1"/>
    <s v="Dr. Gupta"/>
    <n v="44939"/>
    <x v="2"/>
    <x v="1"/>
    <x v="1"/>
    <d v="2023-02-27T00:00:00"/>
    <d v="2023-02-28T17:00:00"/>
    <s v="Ultrasound"/>
    <s v="Accepted"/>
    <s v="Night"/>
    <n v="7"/>
    <n v="10"/>
    <s v="Plan A"/>
    <x v="7"/>
  </r>
  <r>
    <x v="219"/>
    <x v="9"/>
    <x v="2"/>
    <x v="170"/>
    <d v="2023-06-20T00:00:00"/>
    <x v="2"/>
    <x v="4"/>
    <n v="5"/>
    <s v="Dr. Rao"/>
    <n v="33314"/>
    <x v="0"/>
    <x v="1"/>
    <x v="1"/>
    <d v="2023-06-14T00:00:00"/>
    <d v="2023-06-14T06:00:00"/>
    <s v="MRI"/>
    <s v="Accepted"/>
    <s v="Night"/>
    <n v="6"/>
    <n v="8"/>
    <s v="Plan B"/>
    <x v="8"/>
  </r>
  <r>
    <x v="220"/>
    <x v="81"/>
    <x v="0"/>
    <x v="58"/>
    <d v="2024-05-02T00:00:00"/>
    <x v="11"/>
    <x v="5"/>
    <n v="3"/>
    <s v="Dr. Sharma"/>
    <n v="33583"/>
    <x v="0"/>
    <x v="1"/>
    <x v="0"/>
    <d v="2024-01-21T00:00:00"/>
    <d v="2024-01-21T07:00:00"/>
    <s v="CT Scan"/>
    <s v="Accepted"/>
    <s v="Night"/>
    <n v="4"/>
    <n v="10"/>
    <s v="Plan A"/>
    <x v="10"/>
  </r>
  <r>
    <x v="221"/>
    <x v="76"/>
    <x v="4"/>
    <x v="171"/>
    <d v="2023-01-15T00:00:00"/>
    <x v="11"/>
    <x v="1"/>
    <n v="3"/>
    <s v="Dr. Rao"/>
    <n v="26550"/>
    <x v="0"/>
    <x v="1"/>
    <x v="0"/>
    <d v="2022-12-31T00:00:00"/>
    <d v="2022-12-31T16:00:00"/>
    <s v="MRI"/>
    <s v="Accepted"/>
    <s v="Morning"/>
    <n v="10"/>
    <n v="8"/>
    <s v="Plan B"/>
    <x v="5"/>
  </r>
  <r>
    <x v="222"/>
    <x v="67"/>
    <x v="3"/>
    <x v="172"/>
    <d v="2024-10-02T00:00:00"/>
    <x v="10"/>
    <x v="4"/>
    <n v="5"/>
    <s v="Dr. Sharma"/>
    <n v="5093"/>
    <x v="2"/>
    <x v="1"/>
    <x v="1"/>
    <d v="2024-02-02T00:00:00"/>
    <d v="2024-03-02T19:00:00"/>
    <s v="Blood Test"/>
    <s v="Accepted"/>
    <s v="Afternoon"/>
    <n v="9"/>
    <n v="12"/>
    <s v="Plan A"/>
    <x v="13"/>
  </r>
  <r>
    <x v="223"/>
    <x v="61"/>
    <x v="5"/>
    <x v="75"/>
    <d v="2023-12-10T00:00:00"/>
    <x v="14"/>
    <x v="1"/>
    <n v="2"/>
    <s v="Dr. Patel"/>
    <n v="40755"/>
    <x v="1"/>
    <x v="1"/>
    <x v="0"/>
    <d v="2023-09-26T00:00:00"/>
    <d v="2023-09-27T19:00:00"/>
    <s v="CT Scan"/>
    <s v="Accepted"/>
    <s v="Morning"/>
    <n v="8"/>
    <n v="10"/>
    <s v="Plan C"/>
    <x v="2"/>
  </r>
  <r>
    <x v="224"/>
    <x v="82"/>
    <x v="2"/>
    <x v="173"/>
    <d v="2024-04-13T00:00:00"/>
    <x v="3"/>
    <x v="0"/>
    <n v="3"/>
    <s v="Dr. Rao"/>
    <n v="14967"/>
    <x v="0"/>
    <x v="1"/>
    <x v="0"/>
    <d v="2024-10-04T00:00:00"/>
    <d v="2024-10-04T23:00:00"/>
    <s v="CT Scan"/>
    <s v="Accepted"/>
    <s v="Night"/>
    <n v="6"/>
    <n v="12"/>
    <s v="Plan C"/>
    <x v="20"/>
  </r>
  <r>
    <x v="225"/>
    <x v="31"/>
    <x v="0"/>
    <x v="174"/>
    <d v="2023-10-29T00:00:00"/>
    <x v="9"/>
    <x v="3"/>
    <n v="5"/>
    <s v="Dr. Patel"/>
    <n v="21218"/>
    <x v="4"/>
    <x v="1"/>
    <x v="0"/>
    <d v="2023-10-20T00:00:00"/>
    <d v="2023-10-20T11:00:00"/>
    <s v="Blood Test"/>
    <s v="Accepted"/>
    <s v="Morning"/>
    <n v="10"/>
    <n v="10"/>
    <s v="Plan C"/>
    <x v="15"/>
  </r>
  <r>
    <x v="226"/>
    <x v="23"/>
    <x v="1"/>
    <x v="121"/>
    <d v="2024-10-03T00:00:00"/>
    <x v="4"/>
    <x v="3"/>
    <n v="2"/>
    <s v="Dr. Patel"/>
    <n v="48220"/>
    <x v="0"/>
    <x v="1"/>
    <x v="0"/>
    <d v="2024-06-03T00:00:00"/>
    <d v="2024-07-03T18:00:00"/>
    <s v="Blood Test"/>
    <s v="Accepted"/>
    <s v="Afternoon"/>
    <n v="7"/>
    <n v="10"/>
    <s v="Plan C"/>
    <x v="18"/>
  </r>
  <r>
    <x v="227"/>
    <x v="76"/>
    <x v="4"/>
    <x v="175"/>
    <d v="2024-05-23T00:00:00"/>
    <x v="12"/>
    <x v="3"/>
    <n v="2"/>
    <s v="Dr. Mehta"/>
    <n v="13627"/>
    <x v="3"/>
    <x v="1"/>
    <x v="1"/>
    <d v="2024-09-05T00:00:00"/>
    <d v="2024-10-05T16:00:00"/>
    <s v="X-Ray"/>
    <s v="Accepted"/>
    <s v="Afternoon"/>
    <n v="6"/>
    <n v="12"/>
    <s v="Plan C"/>
    <x v="12"/>
  </r>
  <r>
    <x v="228"/>
    <x v="25"/>
    <x v="0"/>
    <x v="176"/>
    <d v="2023-06-17T00:00:00"/>
    <x v="9"/>
    <x v="1"/>
    <n v="4"/>
    <s v="Dr. Sharma"/>
    <n v="9947"/>
    <x v="0"/>
    <x v="1"/>
    <x v="1"/>
    <d v="2023-05-06T00:00:00"/>
    <d v="2023-05-06T03:00:00"/>
    <s v="Ultrasound"/>
    <s v="Accepted"/>
    <s v="Night"/>
    <n v="8"/>
    <n v="10"/>
    <s v="Plan B"/>
    <x v="3"/>
  </r>
  <r>
    <x v="229"/>
    <x v="10"/>
    <x v="1"/>
    <x v="146"/>
    <d v="2023-07-23T00:00:00"/>
    <x v="9"/>
    <x v="4"/>
    <n v="2"/>
    <s v="Dr. Gupta"/>
    <n v="44419"/>
    <x v="2"/>
    <x v="0"/>
    <x v="0"/>
    <d v="2023-07-13T00:00:00"/>
    <d v="2023-07-14T13:00:00"/>
    <s v="CT Scan"/>
    <s v="Rejected"/>
    <s v="Night"/>
    <n v="10"/>
    <n v="12"/>
    <s v="Plan C"/>
    <x v="11"/>
  </r>
  <r>
    <x v="230"/>
    <x v="83"/>
    <x v="0"/>
    <x v="177"/>
    <d v="2023-06-11T00:00:00"/>
    <x v="10"/>
    <x v="3"/>
    <n v="3"/>
    <s v="Dr. Sharma"/>
    <n v="28178"/>
    <x v="0"/>
    <x v="1"/>
    <x v="0"/>
    <d v="2023-10-30T00:00:00"/>
    <d v="2023-10-31T18:00:00"/>
    <s v="CT Scan"/>
    <s v="Accepted"/>
    <s v="Morning"/>
    <n v="9"/>
    <n v="12"/>
    <s v="Plan C"/>
    <x v="15"/>
  </r>
  <r>
    <x v="231"/>
    <x v="23"/>
    <x v="2"/>
    <x v="178"/>
    <d v="2023-08-22T00:00:00"/>
    <x v="0"/>
    <x v="4"/>
    <n v="3"/>
    <s v="Dr. Gupta"/>
    <n v="33876"/>
    <x v="3"/>
    <x v="1"/>
    <x v="0"/>
    <d v="2023-07-08T00:00:00"/>
    <d v="2023-08-08T20:00:00"/>
    <s v="Blood Test"/>
    <s v="Accepted"/>
    <s v="Night"/>
    <n v="11"/>
    <n v="8"/>
    <s v="Plan C"/>
    <x v="14"/>
  </r>
  <r>
    <x v="232"/>
    <x v="44"/>
    <x v="2"/>
    <x v="111"/>
    <d v="2023-03-03T00:00:00"/>
    <x v="2"/>
    <x v="1"/>
    <n v="5"/>
    <s v="Dr. Sharma"/>
    <n v="27908"/>
    <x v="4"/>
    <x v="1"/>
    <x v="0"/>
    <d v="2023-02-27T00:00:00"/>
    <d v="2023-02-28T18:00:00"/>
    <s v="Blood Test"/>
    <s v="Accepted"/>
    <s v="Morning"/>
    <n v="4"/>
    <n v="12"/>
    <s v="Plan C"/>
    <x v="1"/>
  </r>
  <r>
    <x v="233"/>
    <x v="78"/>
    <x v="2"/>
    <x v="154"/>
    <d v="2023-11-03T00:00:00"/>
    <x v="1"/>
    <x v="0"/>
    <n v="5"/>
    <s v="Dr. Patel"/>
    <n v="40912"/>
    <x v="1"/>
    <x v="1"/>
    <x v="0"/>
    <d v="2023-04-03T00:00:00"/>
    <d v="2023-05-03T02:00:00"/>
    <s v="Ultrasound"/>
    <s v="Accepted"/>
    <s v="Afternoon"/>
    <n v="8"/>
    <n v="8"/>
    <s v="Plan A"/>
    <x v="0"/>
  </r>
  <r>
    <x v="234"/>
    <x v="84"/>
    <x v="3"/>
    <x v="179"/>
    <d v="2023-11-24T00:00:00"/>
    <x v="10"/>
    <x v="4"/>
    <n v="2"/>
    <s v="Dr. Rao"/>
    <n v="24971"/>
    <x v="0"/>
    <x v="1"/>
    <x v="0"/>
    <d v="2023-11-18T00:00:00"/>
    <d v="2023-11-18T22:00:00"/>
    <s v="Blood Test"/>
    <s v="Accepted"/>
    <s v="Afternoon"/>
    <n v="10"/>
    <n v="12"/>
    <s v="Plan C"/>
    <x v="14"/>
  </r>
  <r>
    <x v="235"/>
    <x v="78"/>
    <x v="3"/>
    <x v="180"/>
    <d v="2023-03-14T00:00:00"/>
    <x v="13"/>
    <x v="0"/>
    <n v="1"/>
    <s v="Dr. Rao"/>
    <n v="37584"/>
    <x v="3"/>
    <x v="1"/>
    <x v="0"/>
    <d v="2023-02-26T00:00:00"/>
    <d v="2023-02-27T04:00:00"/>
    <s v="MRI"/>
    <s v="Rejected"/>
    <s v="Afternoon"/>
    <n v="9"/>
    <n v="10"/>
    <s v="Plan C"/>
    <x v="7"/>
  </r>
  <r>
    <x v="236"/>
    <x v="83"/>
    <x v="4"/>
    <x v="164"/>
    <d v="2023-04-03T00:00:00"/>
    <x v="0"/>
    <x v="1"/>
    <n v="4"/>
    <s v="Dr. Mehta"/>
    <n v="13959"/>
    <x v="3"/>
    <x v="1"/>
    <x v="0"/>
    <d v="2023-02-18T00:00:00"/>
    <d v="2023-02-18T07:00:00"/>
    <s v="MRI"/>
    <s v="Rejected"/>
    <s v="Afternoon"/>
    <n v="7"/>
    <n v="12"/>
    <s v="Plan B"/>
    <x v="7"/>
  </r>
  <r>
    <x v="237"/>
    <x v="38"/>
    <x v="2"/>
    <x v="181"/>
    <d v="2024-05-16T00:00:00"/>
    <x v="14"/>
    <x v="1"/>
    <n v="1"/>
    <s v="Dr. Gupta"/>
    <n v="33261"/>
    <x v="4"/>
    <x v="0"/>
    <x v="1"/>
    <d v="2024-04-29T00:00:00"/>
    <d v="2024-04-29T01:00:00"/>
    <s v="MRI"/>
    <s v="Accepted"/>
    <s v="Afternoon"/>
    <n v="8"/>
    <n v="10"/>
    <s v="Plan A"/>
    <x v="16"/>
  </r>
  <r>
    <x v="238"/>
    <x v="0"/>
    <x v="1"/>
    <x v="182"/>
    <d v="2024-05-06T00:00:00"/>
    <x v="1"/>
    <x v="5"/>
    <n v="2"/>
    <s v="Dr. Gupta"/>
    <n v="46065"/>
    <x v="2"/>
    <x v="1"/>
    <x v="0"/>
    <d v="2024-05-24T00:00:00"/>
    <d v="2024-05-24T07:00:00"/>
    <s v="MRI"/>
    <s v="Rejected"/>
    <s v="Morning"/>
    <n v="11"/>
    <n v="8"/>
    <s v="Plan B"/>
    <x v="12"/>
  </r>
  <r>
    <x v="239"/>
    <x v="18"/>
    <x v="0"/>
    <x v="95"/>
    <d v="2023-06-25T00:00:00"/>
    <x v="13"/>
    <x v="1"/>
    <n v="2"/>
    <s v="Dr. Gupta"/>
    <n v="44462"/>
    <x v="0"/>
    <x v="1"/>
    <x v="1"/>
    <d v="2023-06-06T00:00:00"/>
    <d v="2023-06-06T17:00:00"/>
    <s v="Ultrasound"/>
    <s v="Accepted"/>
    <s v="Afternoon"/>
    <n v="6"/>
    <n v="10"/>
    <s v="Plan C"/>
    <x v="14"/>
  </r>
  <r>
    <x v="240"/>
    <x v="52"/>
    <x v="5"/>
    <x v="180"/>
    <d v="2023-03-15T00:00:00"/>
    <x v="8"/>
    <x v="1"/>
    <n v="1"/>
    <s v="Dr. Patel"/>
    <n v="20835"/>
    <x v="3"/>
    <x v="0"/>
    <x v="1"/>
    <d v="2023-02-25T00:00:00"/>
    <d v="2023-02-25T15:00:00"/>
    <s v="CT Scan"/>
    <s v="Accepted"/>
    <s v="Morning"/>
    <n v="5"/>
    <n v="12"/>
    <s v="Plan B"/>
    <x v="7"/>
  </r>
  <r>
    <x v="241"/>
    <x v="32"/>
    <x v="1"/>
    <x v="183"/>
    <d v="2024-06-16T00:00:00"/>
    <x v="11"/>
    <x v="2"/>
    <n v="4"/>
    <s v="Dr. Gupta"/>
    <n v="24257"/>
    <x v="4"/>
    <x v="1"/>
    <x v="0"/>
    <d v="2024-02-06T00:00:00"/>
    <d v="2024-03-06T09:00:00"/>
    <s v="MRI"/>
    <s v="Accepted"/>
    <s v="Afternoon"/>
    <n v="6"/>
    <n v="10"/>
    <s v="Plan B"/>
    <x v="13"/>
  </r>
  <r>
    <x v="242"/>
    <x v="54"/>
    <x v="3"/>
    <x v="184"/>
    <d v="2023-03-25T00:00:00"/>
    <x v="4"/>
    <x v="3"/>
    <n v="1"/>
    <s v="Dr. Rao"/>
    <n v="8346"/>
    <x v="1"/>
    <x v="0"/>
    <x v="1"/>
    <d v="2023-03-20T00:00:00"/>
    <d v="2023-03-22T00:00:00"/>
    <s v="Blood Test"/>
    <s v="Accepted"/>
    <s v="Morning"/>
    <n v="7"/>
    <n v="8"/>
    <s v="Plan C"/>
    <x v="5"/>
  </r>
  <r>
    <x v="243"/>
    <x v="60"/>
    <x v="3"/>
    <x v="185"/>
    <d v="2023-07-15T00:00:00"/>
    <x v="5"/>
    <x v="5"/>
    <n v="5"/>
    <s v="Dr. Patel"/>
    <n v="35807"/>
    <x v="3"/>
    <x v="1"/>
    <x v="1"/>
    <d v="2023-10-07T00:00:00"/>
    <d v="2023-11-07T10:00:00"/>
    <s v="MRI"/>
    <s v="Accepted"/>
    <s v="Morning"/>
    <n v="10"/>
    <n v="10"/>
    <s v="Plan A"/>
    <x v="15"/>
  </r>
  <r>
    <x v="244"/>
    <x v="61"/>
    <x v="1"/>
    <x v="115"/>
    <d v="2023-03-22T00:00:00"/>
    <x v="12"/>
    <x v="5"/>
    <n v="3"/>
    <s v="Dr. Sharma"/>
    <n v="35418"/>
    <x v="4"/>
    <x v="0"/>
    <x v="1"/>
    <d v="2023-12-03T00:00:00"/>
    <d v="2023-03-13T12:00:00"/>
    <s v="Ultrasound"/>
    <s v="Accepted"/>
    <s v="Morning"/>
    <n v="11"/>
    <n v="10"/>
    <s v="Plan A"/>
    <x v="9"/>
  </r>
  <r>
    <x v="245"/>
    <x v="75"/>
    <x v="3"/>
    <x v="136"/>
    <d v="2023-03-16T00:00:00"/>
    <x v="5"/>
    <x v="5"/>
    <n v="5"/>
    <s v="Dr. Gupta"/>
    <n v="16340"/>
    <x v="2"/>
    <x v="1"/>
    <x v="0"/>
    <d v="2023-08-03T00:00:00"/>
    <d v="2023-09-03T14:00:00"/>
    <s v="Blood Test"/>
    <s v="Accepted"/>
    <s v="Night"/>
    <n v="4"/>
    <n v="12"/>
    <s v="Plan B"/>
    <x v="14"/>
  </r>
  <r>
    <x v="246"/>
    <x v="21"/>
    <x v="2"/>
    <x v="186"/>
    <d v="2023-04-09T00:00:00"/>
    <x v="10"/>
    <x v="2"/>
    <n v="3"/>
    <s v="Dr. Gupta"/>
    <n v="38012"/>
    <x v="2"/>
    <x v="1"/>
    <x v="0"/>
    <d v="2023-08-28T00:00:00"/>
    <d v="2023-08-29T21:00:00"/>
    <s v="MRI"/>
    <s v="Accepted"/>
    <s v="Morning"/>
    <n v="8"/>
    <n v="12"/>
    <s v="Plan C"/>
    <x v="3"/>
  </r>
  <r>
    <x v="247"/>
    <x v="45"/>
    <x v="4"/>
    <x v="187"/>
    <d v="2024-02-20T00:00:00"/>
    <x v="2"/>
    <x v="0"/>
    <n v="2"/>
    <s v="Dr. Sharma"/>
    <n v="40393"/>
    <x v="3"/>
    <x v="0"/>
    <x v="0"/>
    <d v="2024-02-16T00:00:00"/>
    <d v="2024-02-17T13:00:00"/>
    <s v="CT Scan"/>
    <s v="Accepted"/>
    <s v="Morning"/>
    <n v="10"/>
    <n v="10"/>
    <s v="Plan B"/>
    <x v="19"/>
  </r>
  <r>
    <x v="248"/>
    <x v="65"/>
    <x v="0"/>
    <x v="188"/>
    <d v="2023-05-13T00:00:00"/>
    <x v="12"/>
    <x v="1"/>
    <n v="4"/>
    <s v="Dr. Gupta"/>
    <n v="41617"/>
    <x v="3"/>
    <x v="1"/>
    <x v="1"/>
    <d v="2023-04-28T00:00:00"/>
    <d v="2023-04-28T15:00:00"/>
    <s v="Blood Test"/>
    <s v="Accepted"/>
    <s v="Afternoon"/>
    <n v="4"/>
    <n v="8"/>
    <s v="Plan B"/>
    <x v="5"/>
  </r>
  <r>
    <x v="249"/>
    <x v="85"/>
    <x v="4"/>
    <x v="76"/>
    <d v="2023-09-19T00:00:00"/>
    <x v="9"/>
    <x v="3"/>
    <n v="1"/>
    <s v="Dr. Sharma"/>
    <n v="14597"/>
    <x v="0"/>
    <x v="1"/>
    <x v="0"/>
    <d v="2023-08-09T00:00:00"/>
    <d v="2023-09-09T05:00:00"/>
    <s v="Blood Test"/>
    <s v="Accepted"/>
    <s v="Morning"/>
    <n v="7"/>
    <n v="10"/>
    <s v="Plan B"/>
    <x v="15"/>
  </r>
  <r>
    <x v="250"/>
    <x v="24"/>
    <x v="0"/>
    <x v="189"/>
    <d v="2023-02-14T00:00:00"/>
    <x v="7"/>
    <x v="4"/>
    <n v="4"/>
    <s v="Dr. Patel"/>
    <n v="30557"/>
    <x v="4"/>
    <x v="0"/>
    <x v="0"/>
    <d v="2023-07-02T00:00:00"/>
    <d v="2023-08-02T00:00:00"/>
    <s v="CT Scan"/>
    <s v="Accepted"/>
    <s v="Morning"/>
    <n v="8"/>
    <n v="8"/>
    <s v="Plan C"/>
    <x v="15"/>
  </r>
  <r>
    <x v="251"/>
    <x v="30"/>
    <x v="0"/>
    <x v="190"/>
    <d v="2023-03-28T00:00:00"/>
    <x v="3"/>
    <x v="0"/>
    <n v="1"/>
    <s v="Dr. Rao"/>
    <n v="12737"/>
    <x v="3"/>
    <x v="1"/>
    <x v="0"/>
    <d v="2023-03-23T00:00:00"/>
    <d v="2023-03-24T02:00:00"/>
    <s v="Blood Test"/>
    <s v="Accepted"/>
    <s v="Night"/>
    <n v="9"/>
    <n v="8"/>
    <s v="Plan C"/>
    <x v="5"/>
  </r>
  <r>
    <x v="252"/>
    <x v="82"/>
    <x v="4"/>
    <x v="17"/>
    <d v="2024-03-16T00:00:00"/>
    <x v="0"/>
    <x v="1"/>
    <n v="5"/>
    <s v="Dr. Sharma"/>
    <n v="49768"/>
    <x v="0"/>
    <x v="1"/>
    <x v="0"/>
    <d v="2024-05-03T00:00:00"/>
    <d v="2024-06-03T06:00:00"/>
    <s v="MRI"/>
    <s v="Accepted"/>
    <s v="Afternoon"/>
    <n v="9"/>
    <n v="8"/>
    <s v="Plan A"/>
    <x v="12"/>
  </r>
  <r>
    <x v="253"/>
    <x v="17"/>
    <x v="1"/>
    <x v="191"/>
    <d v="2024-06-27T00:00:00"/>
    <x v="6"/>
    <x v="2"/>
    <n v="5"/>
    <s v="Dr. Mehta"/>
    <n v="46101"/>
    <x v="0"/>
    <x v="0"/>
    <x v="1"/>
    <d v="2024-06-16T00:00:00"/>
    <d v="2024-06-17T20:00:00"/>
    <s v="Blood Test"/>
    <s v="Accepted"/>
    <s v="Night"/>
    <n v="10"/>
    <n v="10"/>
    <s v="Plan C"/>
    <x v="17"/>
  </r>
  <r>
    <x v="254"/>
    <x v="13"/>
    <x v="0"/>
    <x v="64"/>
    <d v="2023-11-24T00:00:00"/>
    <x v="7"/>
    <x v="1"/>
    <n v="1"/>
    <s v="Dr. Sharma"/>
    <n v="22276"/>
    <x v="3"/>
    <x v="1"/>
    <x v="0"/>
    <d v="2023-11-20T00:00:00"/>
    <d v="2023-11-21T14:00:00"/>
    <s v="MRI"/>
    <s v="Accepted"/>
    <s v="Night"/>
    <n v="6"/>
    <n v="8"/>
    <s v="Plan B"/>
    <x v="14"/>
  </r>
  <r>
    <x v="255"/>
    <x v="60"/>
    <x v="4"/>
    <x v="192"/>
    <d v="2023-09-10T00:00:00"/>
    <x v="13"/>
    <x v="1"/>
    <n v="4"/>
    <s v="Dr. Gupta"/>
    <n v="12310"/>
    <x v="2"/>
    <x v="0"/>
    <x v="0"/>
    <d v="2023-09-21T00:00:00"/>
    <d v="2023-09-22T21:00:00"/>
    <s v="CT Scan"/>
    <s v="Accepted"/>
    <s v="Night"/>
    <n v="10"/>
    <n v="10"/>
    <s v="Plan B"/>
    <x v="2"/>
  </r>
  <r>
    <x v="256"/>
    <x v="51"/>
    <x v="0"/>
    <x v="193"/>
    <d v="2023-07-31T00:00:00"/>
    <x v="2"/>
    <x v="2"/>
    <n v="1"/>
    <s v="Dr. Patel"/>
    <n v="40167"/>
    <x v="4"/>
    <x v="0"/>
    <x v="0"/>
    <d v="2023-07-25T00:00:00"/>
    <d v="2023-07-26T09:00:00"/>
    <s v="X-Ray"/>
    <s v="Rejected"/>
    <s v="Morning"/>
    <n v="6"/>
    <n v="8"/>
    <s v="Plan A"/>
    <x v="11"/>
  </r>
  <r>
    <x v="257"/>
    <x v="64"/>
    <x v="5"/>
    <x v="179"/>
    <d v="2023-11-24T00:00:00"/>
    <x v="10"/>
    <x v="5"/>
    <n v="2"/>
    <s v="Dr. Patel"/>
    <n v="42408"/>
    <x v="4"/>
    <x v="1"/>
    <x v="0"/>
    <d v="2023-11-17T00:00:00"/>
    <d v="2023-11-17T10:00:00"/>
    <s v="CT Scan"/>
    <s v="Accepted"/>
    <s v="Night"/>
    <n v="11"/>
    <n v="8"/>
    <s v="Plan C"/>
    <x v="14"/>
  </r>
  <r>
    <x v="258"/>
    <x v="81"/>
    <x v="1"/>
    <x v="194"/>
    <d v="2023-09-16T00:00:00"/>
    <x v="13"/>
    <x v="5"/>
    <n v="5"/>
    <s v="Dr. Sharma"/>
    <n v="24344"/>
    <x v="2"/>
    <x v="1"/>
    <x v="0"/>
    <d v="2023-08-31T00:00:00"/>
    <d v="2023-08-31T23:00:00"/>
    <s v="MRI"/>
    <s v="Rejected"/>
    <s v="Night"/>
    <n v="7"/>
    <n v="10"/>
    <s v="Plan B"/>
    <x v="7"/>
  </r>
  <r>
    <x v="259"/>
    <x v="66"/>
    <x v="2"/>
    <x v="75"/>
    <d v="2023-08-10T00:00:00"/>
    <x v="9"/>
    <x v="3"/>
    <n v="2"/>
    <s v="Dr. Rao"/>
    <n v="15391"/>
    <x v="3"/>
    <x v="1"/>
    <x v="0"/>
    <d v="2023-09-25T00:00:00"/>
    <d v="2023-09-25T02:00:00"/>
    <s v="Ultrasound"/>
    <s v="Accepted"/>
    <s v="Afternoon"/>
    <n v="9"/>
    <n v="12"/>
    <s v="Plan A"/>
    <x v="2"/>
  </r>
  <r>
    <x v="260"/>
    <x v="73"/>
    <x v="0"/>
    <x v="72"/>
    <d v="2024-02-16T00:00:00"/>
    <x v="10"/>
    <x v="3"/>
    <n v="5"/>
    <s v="Dr. Mehta"/>
    <n v="15892"/>
    <x v="4"/>
    <x v="1"/>
    <x v="0"/>
    <d v="2024-08-02T00:00:00"/>
    <d v="2024-09-02T07:00:00"/>
    <s v="CT Scan"/>
    <s v="Accepted"/>
    <s v="Afternoon"/>
    <n v="11"/>
    <n v="12"/>
    <s v="Plan A"/>
    <x v="20"/>
  </r>
  <r>
    <x v="261"/>
    <x v="36"/>
    <x v="5"/>
    <x v="195"/>
    <d v="2023-05-17T00:00:00"/>
    <x v="2"/>
    <x v="5"/>
    <n v="5"/>
    <s v="Dr. Patel"/>
    <n v="16197"/>
    <x v="3"/>
    <x v="0"/>
    <x v="0"/>
    <d v="2023-05-15T00:00:00"/>
    <d v="2023-05-15T07:00:00"/>
    <s v="Ultrasound"/>
    <s v="Accepted"/>
    <s v="Afternoon"/>
    <n v="8"/>
    <n v="10"/>
    <s v="Plan B"/>
    <x v="4"/>
  </r>
  <r>
    <x v="262"/>
    <x v="78"/>
    <x v="2"/>
    <x v="196"/>
    <d v="2023-11-17T00:00:00"/>
    <x v="14"/>
    <x v="0"/>
    <n v="3"/>
    <s v="Dr. Gupta"/>
    <n v="18050"/>
    <x v="3"/>
    <x v="1"/>
    <x v="0"/>
    <d v="2023-01-11T00:00:00"/>
    <d v="2023-01-11T19:00:00"/>
    <s v="Ultrasound"/>
    <s v="Accepted"/>
    <s v="Afternoon"/>
    <n v="9"/>
    <n v="10"/>
    <s v="Plan B"/>
    <x v="0"/>
  </r>
  <r>
    <x v="263"/>
    <x v="51"/>
    <x v="2"/>
    <x v="197"/>
    <d v="2024-04-18T00:00:00"/>
    <x v="5"/>
    <x v="4"/>
    <n v="2"/>
    <s v="Dr. Gupta"/>
    <n v="41142"/>
    <x v="0"/>
    <x v="1"/>
    <x v="1"/>
    <d v="2024-09-04T00:00:00"/>
    <d v="2024-10-04T03:00:00"/>
    <s v="MRI"/>
    <s v="Accepted"/>
    <s v="Night"/>
    <n v="6"/>
    <n v="12"/>
    <s v="Plan C"/>
    <x v="13"/>
  </r>
  <r>
    <x v="264"/>
    <x v="25"/>
    <x v="0"/>
    <x v="64"/>
    <d v="2023-11-30T00:00:00"/>
    <x v="12"/>
    <x v="1"/>
    <n v="2"/>
    <s v="Dr. Rao"/>
    <n v="46615"/>
    <x v="2"/>
    <x v="0"/>
    <x v="0"/>
    <d v="2023-11-17T00:00:00"/>
    <d v="2023-11-17T06:00:00"/>
    <s v="MRI"/>
    <s v="Accepted"/>
    <s v="Afternoon"/>
    <n v="10"/>
    <n v="12"/>
    <s v="Plan A"/>
    <x v="14"/>
  </r>
  <r>
    <x v="265"/>
    <x v="10"/>
    <x v="4"/>
    <x v="198"/>
    <d v="2023-03-20T00:00:00"/>
    <x v="7"/>
    <x v="4"/>
    <n v="3"/>
    <s v="Dr. Patel"/>
    <n v="48728"/>
    <x v="3"/>
    <x v="0"/>
    <x v="0"/>
    <d v="2023-12-03T00:00:00"/>
    <d v="2023-12-03T08:00:00"/>
    <s v="X-Ray"/>
    <s v="Accepted"/>
    <s v="Morning"/>
    <n v="7"/>
    <n v="12"/>
    <s v="Plan B"/>
    <x v="5"/>
  </r>
  <r>
    <x v="266"/>
    <x v="83"/>
    <x v="0"/>
    <x v="199"/>
    <d v="2023-01-23T00:00:00"/>
    <x v="14"/>
    <x v="1"/>
    <n v="4"/>
    <s v="Dr. Sharma"/>
    <n v="18535"/>
    <x v="1"/>
    <x v="1"/>
    <x v="0"/>
    <d v="2023-08-01T00:00:00"/>
    <d v="2023-09-01T23:00:00"/>
    <s v="Blood Test"/>
    <s v="Accepted"/>
    <s v="Night"/>
    <n v="9"/>
    <n v="10"/>
    <s v="Plan A"/>
    <x v="15"/>
  </r>
  <r>
    <x v="267"/>
    <x v="9"/>
    <x v="5"/>
    <x v="73"/>
    <d v="2024-04-21T00:00:00"/>
    <x v="1"/>
    <x v="5"/>
    <n v="2"/>
    <s v="Dr. Gupta"/>
    <n v="46002"/>
    <x v="2"/>
    <x v="1"/>
    <x v="1"/>
    <d v="2024-10-04T00:00:00"/>
    <d v="2024-10-04T10:00:00"/>
    <s v="CT Scan"/>
    <s v="Accepted"/>
    <s v="Afternoon"/>
    <n v="11"/>
    <n v="8"/>
    <s v="Plan C"/>
    <x v="13"/>
  </r>
  <r>
    <x v="268"/>
    <x v="47"/>
    <x v="2"/>
    <x v="200"/>
    <d v="2023-04-27T00:00:00"/>
    <x v="13"/>
    <x v="3"/>
    <n v="1"/>
    <s v="Dr. Rao"/>
    <n v="48271"/>
    <x v="4"/>
    <x v="0"/>
    <x v="0"/>
    <d v="2023-08-04T00:00:00"/>
    <d v="2023-08-04T23:00:00"/>
    <s v="MRI"/>
    <s v="Accepted"/>
    <s v="Night"/>
    <n v="7"/>
    <n v="10"/>
    <s v="Plan B"/>
    <x v="0"/>
  </r>
  <r>
    <x v="269"/>
    <x v="18"/>
    <x v="0"/>
    <x v="201"/>
    <d v="2023-03-26T00:00:00"/>
    <x v="9"/>
    <x v="0"/>
    <n v="3"/>
    <s v="Dr. Patel"/>
    <n v="10122"/>
    <x v="0"/>
    <x v="0"/>
    <x v="0"/>
    <d v="2023-03-13T00:00:00"/>
    <d v="2023-03-13T20:00:00"/>
    <s v="CT Scan"/>
    <s v="Accepted"/>
    <s v="Afternoon"/>
    <n v="11"/>
    <n v="12"/>
    <s v="Plan C"/>
    <x v="5"/>
  </r>
  <r>
    <x v="270"/>
    <x v="9"/>
    <x v="4"/>
    <x v="169"/>
    <d v="2023-08-20T00:00:00"/>
    <x v="14"/>
    <x v="3"/>
    <n v="2"/>
    <s v="Dr. Patel"/>
    <n v="14852"/>
    <x v="4"/>
    <x v="1"/>
    <x v="0"/>
    <d v="2023-07-08T00:00:00"/>
    <d v="2023-07-08T22:00:00"/>
    <s v="Ultrasound"/>
    <s v="Accepted"/>
    <s v="Night"/>
    <n v="9"/>
    <n v="8"/>
    <s v="Plan A"/>
    <x v="11"/>
  </r>
  <r>
    <x v="271"/>
    <x v="7"/>
    <x v="0"/>
    <x v="202"/>
    <d v="2024-06-16T00:00:00"/>
    <x v="13"/>
    <x v="4"/>
    <n v="4"/>
    <s v="Dr. Patel"/>
    <n v="10387"/>
    <x v="4"/>
    <x v="1"/>
    <x v="0"/>
    <d v="2024-01-06T00:00:00"/>
    <d v="2024-02-06T06:00:00"/>
    <s v="Blood Test"/>
    <s v="Accepted"/>
    <s v="Afternoon"/>
    <n v="10"/>
    <n v="10"/>
    <s v="Plan C"/>
    <x v="19"/>
  </r>
  <r>
    <x v="272"/>
    <x v="2"/>
    <x v="1"/>
    <x v="75"/>
    <d v="2023-09-10T00:00:00"/>
    <x v="12"/>
    <x v="3"/>
    <n v="2"/>
    <s v="Dr. Patel"/>
    <n v="36759"/>
    <x v="2"/>
    <x v="1"/>
    <x v="0"/>
    <d v="2023-09-29T00:00:00"/>
    <d v="2023-09-29T14:00:00"/>
    <s v="X-Ray"/>
    <s v="Accepted"/>
    <s v="Morning"/>
    <n v="4"/>
    <n v="12"/>
    <s v="Plan C"/>
    <x v="2"/>
  </r>
  <r>
    <x v="273"/>
    <x v="44"/>
    <x v="4"/>
    <x v="142"/>
    <d v="2023-05-26T00:00:00"/>
    <x v="12"/>
    <x v="5"/>
    <n v="5"/>
    <s v="Dr. Patel"/>
    <n v="45399"/>
    <x v="4"/>
    <x v="1"/>
    <x v="1"/>
    <d v="2023-05-13T00:00:00"/>
    <d v="2023-05-14T10:00:00"/>
    <s v="CT Scan"/>
    <s v="Accepted"/>
    <s v="Afternoon"/>
    <n v="10"/>
    <n v="10"/>
    <s v="Plan A"/>
    <x v="4"/>
  </r>
  <r>
    <x v="274"/>
    <x v="15"/>
    <x v="5"/>
    <x v="203"/>
    <d v="2024-04-01T00:00:00"/>
    <x v="0"/>
    <x v="0"/>
    <n v="1"/>
    <s v="Dr. Gupta"/>
    <n v="44994"/>
    <x v="3"/>
    <x v="1"/>
    <x v="0"/>
    <d v="2023-12-22T00:00:00"/>
    <d v="2023-12-23T07:00:00"/>
    <s v="Blood Test"/>
    <s v="Accepted"/>
    <s v="Night"/>
    <n v="9"/>
    <n v="8"/>
    <s v="Plan C"/>
    <x v="9"/>
  </r>
  <r>
    <x v="275"/>
    <x v="37"/>
    <x v="2"/>
    <x v="115"/>
    <d v="2023-03-23T00:00:00"/>
    <x v="0"/>
    <x v="4"/>
    <n v="3"/>
    <s v="Dr. Rao"/>
    <n v="42876"/>
    <x v="4"/>
    <x v="0"/>
    <x v="1"/>
    <d v="2023-10-03T00:00:00"/>
    <d v="2023-10-03T23:00:00"/>
    <s v="X-Ray"/>
    <s v="Accepted"/>
    <s v="Night"/>
    <n v="6"/>
    <n v="12"/>
    <s v="Plan A"/>
    <x v="9"/>
  </r>
  <r>
    <x v="276"/>
    <x v="21"/>
    <x v="0"/>
    <x v="3"/>
    <d v="2023-09-17T00:00:00"/>
    <x v="9"/>
    <x v="0"/>
    <n v="5"/>
    <s v="Dr. Patel"/>
    <n v="39878"/>
    <x v="0"/>
    <x v="0"/>
    <x v="1"/>
    <d v="2023-04-09T00:00:00"/>
    <d v="2023-05-09T07:00:00"/>
    <s v="CT Scan"/>
    <s v="Accepted"/>
    <s v="Morning"/>
    <n v="10"/>
    <n v="10"/>
    <s v="Plan B"/>
    <x v="3"/>
  </r>
  <r>
    <x v="277"/>
    <x v="86"/>
    <x v="4"/>
    <x v="204"/>
    <d v="2024-01-15T00:00:00"/>
    <x v="4"/>
    <x v="1"/>
    <n v="4"/>
    <s v="Dr. Mehta"/>
    <n v="38725"/>
    <x v="0"/>
    <x v="0"/>
    <x v="0"/>
    <d v="2024-12-01T00:00:00"/>
    <d v="2024-12-01T07:00:00"/>
    <s v="Blood Test"/>
    <s v="Accepted"/>
    <s v="Night"/>
    <n v="8"/>
    <n v="8"/>
    <s v="Plan A"/>
    <x v="10"/>
  </r>
  <r>
    <x v="278"/>
    <x v="33"/>
    <x v="1"/>
    <x v="205"/>
    <d v="2023-10-29T00:00:00"/>
    <x v="12"/>
    <x v="3"/>
    <n v="5"/>
    <s v="Dr. Mehta"/>
    <n v="12146"/>
    <x v="1"/>
    <x v="1"/>
    <x v="0"/>
    <d v="2023-10-18T00:00:00"/>
    <d v="2023-10-19T05:00:00"/>
    <s v="MRI"/>
    <s v="Accepted"/>
    <s v="Morning"/>
    <n v="6"/>
    <n v="8"/>
    <s v="Plan A"/>
    <x v="15"/>
  </r>
  <r>
    <x v="279"/>
    <x v="54"/>
    <x v="4"/>
    <x v="95"/>
    <d v="2023-06-26T00:00:00"/>
    <x v="8"/>
    <x v="0"/>
    <n v="5"/>
    <s v="Dr. Rao"/>
    <n v="5560"/>
    <x v="0"/>
    <x v="0"/>
    <x v="0"/>
    <d v="2023-10-06T00:00:00"/>
    <d v="2023-11-06T23:00:00"/>
    <s v="CT Scan"/>
    <s v="Accepted"/>
    <s v="Night"/>
    <n v="6"/>
    <n v="10"/>
    <s v="Plan B"/>
    <x v="14"/>
  </r>
  <r>
    <x v="280"/>
    <x v="74"/>
    <x v="3"/>
    <x v="124"/>
    <d v="2024-04-04T00:00:00"/>
    <x v="0"/>
    <x v="2"/>
    <n v="4"/>
    <s v="Dr. Sharma"/>
    <n v="6312"/>
    <x v="4"/>
    <x v="0"/>
    <x v="0"/>
    <d v="2024-03-20T00:00:00"/>
    <d v="2024-03-21T21:00:00"/>
    <s v="Blood Test"/>
    <s v="Accepted"/>
    <s v="Night"/>
    <n v="6"/>
    <n v="8"/>
    <s v="Plan A"/>
    <x v="16"/>
  </r>
  <r>
    <x v="281"/>
    <x v="47"/>
    <x v="1"/>
    <x v="206"/>
    <d v="2023-11-20T00:00:00"/>
    <x v="13"/>
    <x v="3"/>
    <n v="5"/>
    <s v="Dr. Sharma"/>
    <n v="23205"/>
    <x v="0"/>
    <x v="1"/>
    <x v="0"/>
    <d v="2023-02-11T00:00:00"/>
    <d v="2023-03-11T05:00:00"/>
    <s v="X-Ray"/>
    <s v="Accepted"/>
    <s v="Morning"/>
    <n v="7"/>
    <n v="12"/>
    <s v="Plan B"/>
    <x v="8"/>
  </r>
  <r>
    <x v="282"/>
    <x v="41"/>
    <x v="5"/>
    <x v="207"/>
    <d v="2023-01-21T00:00:00"/>
    <x v="11"/>
    <x v="1"/>
    <n v="3"/>
    <s v="Dr. Sharma"/>
    <n v="16595"/>
    <x v="2"/>
    <x v="1"/>
    <x v="0"/>
    <d v="2023-06-01T00:00:00"/>
    <d v="2023-06-01T21:00:00"/>
    <s v="Blood Test"/>
    <s v="Accepted"/>
    <s v="Night"/>
    <n v="5"/>
    <n v="8"/>
    <s v="Plan B"/>
    <x v="2"/>
  </r>
  <r>
    <x v="283"/>
    <x v="25"/>
    <x v="2"/>
    <x v="208"/>
    <d v="2023-08-11T00:00:00"/>
    <x v="5"/>
    <x v="0"/>
    <n v="2"/>
    <s v="Dr. Mehta"/>
    <n v="27030"/>
    <x v="0"/>
    <x v="1"/>
    <x v="1"/>
    <d v="2023-10-30T00:00:00"/>
    <d v="2023-10-30T05:00:00"/>
    <s v="MRI"/>
    <s v="Accepted"/>
    <s v="Night"/>
    <n v="5"/>
    <n v="10"/>
    <s v="Plan A"/>
    <x v="5"/>
  </r>
  <r>
    <x v="284"/>
    <x v="3"/>
    <x v="5"/>
    <x v="209"/>
    <d v="2023-04-18T00:00:00"/>
    <x v="4"/>
    <x v="4"/>
    <n v="5"/>
    <s v="Dr. Sharma"/>
    <n v="26329"/>
    <x v="3"/>
    <x v="0"/>
    <x v="0"/>
    <d v="2023-04-17T00:00:00"/>
    <d v="2023-04-17T20:00:00"/>
    <s v="CT Scan"/>
    <s v="Accepted"/>
    <s v="Morning"/>
    <n v="4"/>
    <n v="12"/>
    <s v="Plan C"/>
    <x v="0"/>
  </r>
  <r>
    <x v="285"/>
    <x v="56"/>
    <x v="0"/>
    <x v="210"/>
    <d v="2023-05-21T00:00:00"/>
    <x v="3"/>
    <x v="1"/>
    <n v="3"/>
    <s v="Dr. Gupta"/>
    <n v="43142"/>
    <x v="2"/>
    <x v="1"/>
    <x v="0"/>
    <d v="2023-05-18T00:00:00"/>
    <d v="2023-05-18T03:00:00"/>
    <s v="CT Scan"/>
    <s v="Accepted"/>
    <s v="Afternoon"/>
    <n v="11"/>
    <n v="8"/>
    <s v="Plan C"/>
    <x v="4"/>
  </r>
  <r>
    <x v="286"/>
    <x v="18"/>
    <x v="4"/>
    <x v="32"/>
    <d v="2023-03-10T00:00:00"/>
    <x v="5"/>
    <x v="2"/>
    <n v="2"/>
    <s v="Dr. Patel"/>
    <n v="7651"/>
    <x v="1"/>
    <x v="0"/>
    <x v="0"/>
    <d v="2023-09-28T00:00:00"/>
    <d v="2023-09-29T22:00:00"/>
    <s v="CT Scan"/>
    <s v="Accepted"/>
    <s v="Morning"/>
    <n v="11"/>
    <n v="8"/>
    <s v="Plan B"/>
    <x v="2"/>
  </r>
  <r>
    <x v="287"/>
    <x v="79"/>
    <x v="3"/>
    <x v="211"/>
    <d v="2023-11-05T00:00:00"/>
    <x v="11"/>
    <x v="0"/>
    <n v="2"/>
    <s v="Dr. Mehta"/>
    <n v="15006"/>
    <x v="3"/>
    <x v="1"/>
    <x v="1"/>
    <d v="2023-04-28T00:00:00"/>
    <d v="2023-04-28T08:00:00"/>
    <s v="MRI"/>
    <s v="Accepted"/>
    <s v="Night"/>
    <n v="6"/>
    <n v="12"/>
    <s v="Plan C"/>
    <x v="0"/>
  </r>
  <r>
    <x v="288"/>
    <x v="18"/>
    <x v="1"/>
    <x v="212"/>
    <d v="2023-03-05T00:00:00"/>
    <x v="14"/>
    <x v="5"/>
    <n v="5"/>
    <s v="Dr. Rao"/>
    <n v="47701"/>
    <x v="4"/>
    <x v="0"/>
    <x v="0"/>
    <d v="2023-04-15T00:00:00"/>
    <d v="2023-04-15T02:00:00"/>
    <s v="X-Ray"/>
    <s v="Accepted"/>
    <s v="Afternoon"/>
    <n v="5"/>
    <n v="12"/>
    <s v="Plan C"/>
    <x v="0"/>
  </r>
  <r>
    <x v="289"/>
    <x v="35"/>
    <x v="1"/>
    <x v="24"/>
    <d v="2023-06-14T00:00:00"/>
    <x v="5"/>
    <x v="3"/>
    <n v="3"/>
    <s v="Dr. Rao"/>
    <n v="40645"/>
    <x v="4"/>
    <x v="1"/>
    <x v="1"/>
    <d v="2023-07-06T00:00:00"/>
    <d v="2023-07-06T22:00:00"/>
    <s v="CT Scan"/>
    <s v="Accepted"/>
    <s v="Afternoon"/>
    <n v="4"/>
    <n v="8"/>
    <s v="Plan A"/>
    <x v="2"/>
  </r>
  <r>
    <x v="290"/>
    <x v="4"/>
    <x v="4"/>
    <x v="213"/>
    <d v="2023-10-21T00:00:00"/>
    <x v="8"/>
    <x v="4"/>
    <n v="5"/>
    <s v="Dr. Patel"/>
    <n v="26966"/>
    <x v="4"/>
    <x v="0"/>
    <x v="1"/>
    <d v="2023-03-10T00:00:00"/>
    <d v="2023-04-10T18:00:00"/>
    <s v="X-Ray"/>
    <s v="Accepted"/>
    <s v="Afternoon"/>
    <n v="7"/>
    <n v="12"/>
    <s v="Plan B"/>
    <x v="8"/>
  </r>
  <r>
    <x v="291"/>
    <x v="51"/>
    <x v="3"/>
    <x v="214"/>
    <d v="2023-10-22T00:00:00"/>
    <x v="10"/>
    <x v="5"/>
    <n v="4"/>
    <s v="Dr. Mehta"/>
    <n v="32846"/>
    <x v="3"/>
    <x v="1"/>
    <x v="0"/>
    <d v="2023-12-10T00:00:00"/>
    <d v="2023-12-10T07:00:00"/>
    <s v="Blood Test"/>
    <s v="Rejected"/>
    <s v="Morning"/>
    <n v="6"/>
    <n v="10"/>
    <s v="Plan B"/>
    <x v="15"/>
  </r>
  <r>
    <x v="292"/>
    <x v="83"/>
    <x v="4"/>
    <x v="215"/>
    <d v="2023-10-08T00:00:00"/>
    <x v="10"/>
    <x v="0"/>
    <n v="2"/>
    <s v="Dr. Sharma"/>
    <n v="26774"/>
    <x v="3"/>
    <x v="0"/>
    <x v="0"/>
    <d v="2023-01-08T00:00:00"/>
    <d v="2023-02-08T20:00:00"/>
    <s v="X-Ray"/>
    <s v="Accepted"/>
    <s v="Afternoon"/>
    <n v="8"/>
    <n v="8"/>
    <s v="Plan A"/>
    <x v="0"/>
  </r>
  <r>
    <x v="293"/>
    <x v="40"/>
    <x v="0"/>
    <x v="216"/>
    <d v="2023-12-19T00:00:00"/>
    <x v="4"/>
    <x v="0"/>
    <n v="5"/>
    <s v="Dr. Sharma"/>
    <n v="9083"/>
    <x v="3"/>
    <x v="1"/>
    <x v="0"/>
    <d v="2023-12-17T00:00:00"/>
    <d v="2023-12-17T11:00:00"/>
    <s v="X-Ray"/>
    <s v="Accepted"/>
    <s v="Afternoon"/>
    <n v="7"/>
    <n v="10"/>
    <s v="Plan C"/>
    <x v="9"/>
  </r>
  <r>
    <x v="294"/>
    <x v="30"/>
    <x v="5"/>
    <x v="217"/>
    <d v="2023-07-31T00:00:00"/>
    <x v="3"/>
    <x v="1"/>
    <n v="2"/>
    <s v="Dr. Gupta"/>
    <n v="38513"/>
    <x v="2"/>
    <x v="1"/>
    <x v="0"/>
    <d v="2023-07-24T00:00:00"/>
    <d v="2023-07-26T00:00:00"/>
    <s v="CT Scan"/>
    <s v="Accepted"/>
    <s v="Afternoon"/>
    <n v="4"/>
    <n v="8"/>
    <s v="Plan B"/>
    <x v="11"/>
  </r>
  <r>
    <x v="295"/>
    <x v="84"/>
    <x v="1"/>
    <x v="32"/>
    <d v="2023-12-10T00:00:00"/>
    <x v="13"/>
    <x v="0"/>
    <n v="3"/>
    <s v="Dr. Gupta"/>
    <n v="13749"/>
    <x v="2"/>
    <x v="1"/>
    <x v="0"/>
    <d v="2023-09-24T00:00:00"/>
    <d v="2023-09-24T16:00:00"/>
    <s v="Ultrasound"/>
    <s v="Accepted"/>
    <s v="Night"/>
    <n v="7"/>
    <n v="10"/>
    <s v="Plan C"/>
    <x v="2"/>
  </r>
  <r>
    <x v="296"/>
    <x v="80"/>
    <x v="0"/>
    <x v="14"/>
    <d v="2024-04-06T00:00:00"/>
    <x v="3"/>
    <x v="4"/>
    <n v="1"/>
    <s v="Dr. Sharma"/>
    <n v="35783"/>
    <x v="4"/>
    <x v="1"/>
    <x v="0"/>
    <d v="2024-05-31T00:00:00"/>
    <d v="2024-01-06T10:00:00"/>
    <s v="Ultrasound"/>
    <s v="Accepted"/>
    <s v="Morning"/>
    <n v="8"/>
    <n v="10"/>
    <s v="Plan B"/>
    <x v="10"/>
  </r>
  <r>
    <x v="297"/>
    <x v="18"/>
    <x v="5"/>
    <x v="106"/>
    <d v="2024-05-25T00:00:00"/>
    <x v="12"/>
    <x v="5"/>
    <n v="5"/>
    <s v="Dr. Rao"/>
    <n v="22325"/>
    <x v="0"/>
    <x v="1"/>
    <x v="0"/>
    <d v="2024-05-13T00:00:00"/>
    <d v="2024-05-13T12:00:00"/>
    <s v="MRI"/>
    <s v="Accepted"/>
    <s v="Morning"/>
    <n v="11"/>
    <n v="12"/>
    <s v="Plan B"/>
    <x v="12"/>
  </r>
  <r>
    <x v="298"/>
    <x v="51"/>
    <x v="0"/>
    <x v="91"/>
    <d v="2023-09-26T00:00:00"/>
    <x v="0"/>
    <x v="4"/>
    <n v="5"/>
    <s v="Dr. Rao"/>
    <n v="23680"/>
    <x v="4"/>
    <x v="1"/>
    <x v="1"/>
    <d v="2023-11-09T00:00:00"/>
    <d v="2023-12-09T12:00:00"/>
    <s v="MRI"/>
    <s v="Accepted"/>
    <s v="Night"/>
    <n v="7"/>
    <n v="8"/>
    <s v="Plan B"/>
    <x v="2"/>
  </r>
  <r>
    <x v="299"/>
    <x v="19"/>
    <x v="3"/>
    <x v="218"/>
    <d v="2023-01-03T00:00:00"/>
    <x v="1"/>
    <x v="2"/>
    <n v="2"/>
    <s v="Dr. Gupta"/>
    <n v="22323"/>
    <x v="1"/>
    <x v="0"/>
    <x v="0"/>
    <d v="2023-02-20T00:00:00"/>
    <d v="2023-02-20T11:00:00"/>
    <s v="Ultrasound"/>
    <s v="Accepted"/>
    <s v="Afternoon"/>
    <n v="4"/>
    <n v="12"/>
    <s v="Plan B"/>
    <x v="7"/>
  </r>
  <r>
    <x v="300"/>
    <x v="23"/>
    <x v="1"/>
    <x v="27"/>
    <d v="2023-07-04T00:00:00"/>
    <x v="2"/>
    <x v="2"/>
    <n v="3"/>
    <s v="Dr. Patel"/>
    <n v="27684"/>
    <x v="2"/>
    <x v="1"/>
    <x v="0"/>
    <d v="2023-04-04T00:00:00"/>
    <d v="2023-04-04T22:00:00"/>
    <s v="Blood Test"/>
    <s v="Accepted"/>
    <s v="Night"/>
    <n v="11"/>
    <n v="12"/>
    <s v="Plan C"/>
    <x v="4"/>
  </r>
  <r>
    <x v="301"/>
    <x v="67"/>
    <x v="4"/>
    <x v="121"/>
    <d v="2024-12-03T00:00:00"/>
    <x v="3"/>
    <x v="3"/>
    <n v="4"/>
    <s v="Dr. Sharma"/>
    <n v="39493"/>
    <x v="3"/>
    <x v="0"/>
    <x v="0"/>
    <d v="2024-06-03T00:00:00"/>
    <d v="2024-07-03T12:00:00"/>
    <s v="CT Scan"/>
    <s v="Accepted"/>
    <s v="Night"/>
    <n v="11"/>
    <n v="8"/>
    <s v="Plan C"/>
    <x v="18"/>
  </r>
  <r>
    <x v="302"/>
    <x v="11"/>
    <x v="4"/>
    <x v="219"/>
    <d v="2023-10-23T00:00:00"/>
    <x v="11"/>
    <x v="3"/>
    <n v="3"/>
    <s v="Dr. Gupta"/>
    <n v="17213"/>
    <x v="2"/>
    <x v="1"/>
    <x v="0"/>
    <d v="2023-07-10T00:00:00"/>
    <d v="2023-08-10T04:00:00"/>
    <s v="CT Scan"/>
    <s v="Accepted"/>
    <s v="Afternoon"/>
    <n v="11"/>
    <n v="10"/>
    <s v="Plan C"/>
    <x v="14"/>
  </r>
  <r>
    <x v="303"/>
    <x v="14"/>
    <x v="5"/>
    <x v="220"/>
    <d v="2023-02-26T00:00:00"/>
    <x v="0"/>
    <x v="2"/>
    <n v="5"/>
    <s v="Dr. Gupta"/>
    <n v="36831"/>
    <x v="3"/>
    <x v="1"/>
    <x v="0"/>
    <d v="2023-10-02T00:00:00"/>
    <d v="2023-11-02T06:00:00"/>
    <s v="Blood Test"/>
    <s v="Accepted"/>
    <s v="Afternoon"/>
    <n v="8"/>
    <n v="8"/>
    <s v="Plan C"/>
    <x v="7"/>
  </r>
  <r>
    <x v="304"/>
    <x v="15"/>
    <x v="2"/>
    <x v="96"/>
    <d v="2023-05-01T00:00:00"/>
    <x v="4"/>
    <x v="0"/>
    <n v="4"/>
    <s v="Dr. Sharma"/>
    <n v="47296"/>
    <x v="1"/>
    <x v="0"/>
    <x v="0"/>
    <d v="2023-02-01T00:00:00"/>
    <d v="2023-02-01T15:00:00"/>
    <s v="Blood Test"/>
    <s v="Accepted"/>
    <s v="Morning"/>
    <n v="8"/>
    <n v="8"/>
    <s v="Plan A"/>
    <x v="0"/>
  </r>
  <r>
    <x v="305"/>
    <x v="28"/>
    <x v="3"/>
    <x v="221"/>
    <d v="2023-10-12T00:00:00"/>
    <x v="2"/>
    <x v="4"/>
    <n v="3"/>
    <s v="Dr. Sharma"/>
    <n v="32713"/>
    <x v="1"/>
    <x v="1"/>
    <x v="0"/>
    <d v="2023-04-12T00:00:00"/>
    <d v="2023-05-12T02:00:00"/>
    <s v="Ultrasound"/>
    <s v="Accepted"/>
    <s v="Afternoon"/>
    <n v="11"/>
    <n v="8"/>
    <s v="Plan B"/>
    <x v="3"/>
  </r>
  <r>
    <x v="306"/>
    <x v="47"/>
    <x v="5"/>
    <x v="222"/>
    <d v="2023-05-26T00:00:00"/>
    <x v="11"/>
    <x v="2"/>
    <n v="1"/>
    <s v="Dr. Rao"/>
    <n v="46621"/>
    <x v="2"/>
    <x v="0"/>
    <x v="1"/>
    <d v="2023-12-05T00:00:00"/>
    <d v="2023-05-13T17:00:00"/>
    <s v="MRI"/>
    <s v="Accepted"/>
    <s v="Night"/>
    <n v="7"/>
    <n v="12"/>
    <s v="Plan B"/>
    <x v="4"/>
  </r>
  <r>
    <x v="307"/>
    <x v="40"/>
    <x v="2"/>
    <x v="223"/>
    <d v="2023-05-10T00:00:00"/>
    <x v="9"/>
    <x v="3"/>
    <n v="2"/>
    <s v="Dr. Patel"/>
    <n v="12187"/>
    <x v="3"/>
    <x v="1"/>
    <x v="0"/>
    <d v="2023-09-22T00:00:00"/>
    <d v="2023-09-22T12:00:00"/>
    <s v="Blood Test"/>
    <s v="Accepted"/>
    <s v="Night"/>
    <n v="8"/>
    <n v="8"/>
    <s v="Plan B"/>
    <x v="2"/>
  </r>
  <r>
    <x v="308"/>
    <x v="68"/>
    <x v="0"/>
    <x v="103"/>
    <d v="2023-06-19T00:00:00"/>
    <x v="7"/>
    <x v="2"/>
    <n v="3"/>
    <s v="Dr. Patel"/>
    <n v="37800"/>
    <x v="1"/>
    <x v="1"/>
    <x v="0"/>
    <d v="2023-11-06T00:00:00"/>
    <d v="2023-11-06T12:00:00"/>
    <s v="MRI"/>
    <s v="Accepted"/>
    <s v="Afternoon"/>
    <n v="10"/>
    <n v="8"/>
    <s v="Plan A"/>
    <x v="8"/>
  </r>
  <r>
    <x v="309"/>
    <x v="68"/>
    <x v="3"/>
    <x v="224"/>
    <d v="2024-04-04T00:00:00"/>
    <x v="1"/>
    <x v="0"/>
    <n v="3"/>
    <s v="Dr. Sharma"/>
    <n v="37583"/>
    <x v="4"/>
    <x v="0"/>
    <x v="0"/>
    <d v="2024-03-24T00:00:00"/>
    <d v="2024-03-25T17:00:00"/>
    <s v="X-Ray"/>
    <s v="Accepted"/>
    <s v="Morning"/>
    <n v="7"/>
    <n v="8"/>
    <s v="Plan C"/>
    <x v="16"/>
  </r>
  <r>
    <x v="310"/>
    <x v="4"/>
    <x v="0"/>
    <x v="225"/>
    <d v="2024-03-20T00:00:00"/>
    <x v="1"/>
    <x v="2"/>
    <n v="1"/>
    <s v="Dr. Mehta"/>
    <n v="19408"/>
    <x v="4"/>
    <x v="0"/>
    <x v="1"/>
    <d v="2024-10-03T00:00:00"/>
    <d v="2024-11-03T19:00:00"/>
    <s v="CT Scan"/>
    <s v="Accepted"/>
    <s v="Night"/>
    <n v="6"/>
    <n v="10"/>
    <s v="Plan B"/>
    <x v="16"/>
  </r>
  <r>
    <x v="311"/>
    <x v="14"/>
    <x v="1"/>
    <x v="199"/>
    <d v="2023-01-18T00:00:00"/>
    <x v="6"/>
    <x v="4"/>
    <n v="5"/>
    <s v="Dr. Gupta"/>
    <n v="27369"/>
    <x v="3"/>
    <x v="1"/>
    <x v="0"/>
    <d v="2023-05-01T00:00:00"/>
    <d v="2023-06-01T04:00:00"/>
    <s v="Ultrasound"/>
    <s v="Accepted"/>
    <s v="Afternoon"/>
    <n v="8"/>
    <n v="10"/>
    <s v="Plan C"/>
    <x v="15"/>
  </r>
  <r>
    <x v="312"/>
    <x v="63"/>
    <x v="3"/>
    <x v="0"/>
    <d v="2023-01-05T00:00:00"/>
    <x v="10"/>
    <x v="5"/>
    <n v="2"/>
    <s v="Dr. Gupta"/>
    <n v="8414"/>
    <x v="2"/>
    <x v="1"/>
    <x v="0"/>
    <d v="2023-04-21T00:00:00"/>
    <d v="2023-04-22T02:00:00"/>
    <s v="CT Scan"/>
    <s v="Accepted"/>
    <s v="Morning"/>
    <n v="7"/>
    <n v="10"/>
    <s v="Plan C"/>
    <x v="0"/>
  </r>
  <r>
    <x v="313"/>
    <x v="16"/>
    <x v="2"/>
    <x v="162"/>
    <d v="2023-03-22T00:00:00"/>
    <x v="3"/>
    <x v="0"/>
    <n v="3"/>
    <s v="Dr. Sharma"/>
    <n v="24510"/>
    <x v="1"/>
    <x v="0"/>
    <x v="0"/>
    <d v="2023-03-17T00:00:00"/>
    <d v="2023-03-17T02:00:00"/>
    <s v="Ultrasound"/>
    <s v="Accepted"/>
    <s v="Morning"/>
    <n v="6"/>
    <n v="10"/>
    <s v="Plan A"/>
    <x v="5"/>
  </r>
  <r>
    <x v="314"/>
    <x v="81"/>
    <x v="1"/>
    <x v="226"/>
    <d v="2023-08-06T00:00:00"/>
    <x v="10"/>
    <x v="3"/>
    <n v="4"/>
    <s v="Dr. Mehta"/>
    <n v="17120"/>
    <x v="2"/>
    <x v="1"/>
    <x v="0"/>
    <d v="2023-05-30T00:00:00"/>
    <d v="2023-01-06T00:00:00"/>
    <s v="X-Ray"/>
    <s v="Accepted"/>
    <s v="Night"/>
    <n v="8"/>
    <n v="12"/>
    <s v="Plan A"/>
    <x v="7"/>
  </r>
  <r>
    <x v="315"/>
    <x v="3"/>
    <x v="4"/>
    <x v="227"/>
    <d v="2023-11-02T00:00:00"/>
    <x v="5"/>
    <x v="4"/>
    <n v="3"/>
    <s v="Dr. Rao"/>
    <n v="39311"/>
    <x v="4"/>
    <x v="0"/>
    <x v="0"/>
    <d v="2023-06-02T00:00:00"/>
    <d v="2023-07-02T16:00:00"/>
    <s v="CT Scan"/>
    <s v="Accepted"/>
    <s v="Night"/>
    <n v="6"/>
    <n v="12"/>
    <s v="Plan C"/>
    <x v="8"/>
  </r>
  <r>
    <x v="316"/>
    <x v="51"/>
    <x v="2"/>
    <x v="204"/>
    <d v="2024-01-26T00:00:00"/>
    <x v="11"/>
    <x v="2"/>
    <n v="2"/>
    <s v="Dr. Sharma"/>
    <n v="38039"/>
    <x v="1"/>
    <x v="1"/>
    <x v="0"/>
    <d v="2024-12-01T00:00:00"/>
    <d v="2024-12-01T13:00:00"/>
    <s v="X-Ray"/>
    <s v="Accepted"/>
    <s v="Morning"/>
    <n v="9"/>
    <n v="8"/>
    <s v="Plan B"/>
    <x v="10"/>
  </r>
  <r>
    <x v="317"/>
    <x v="78"/>
    <x v="5"/>
    <x v="228"/>
    <d v="2023-07-06T00:00:00"/>
    <x v="10"/>
    <x v="2"/>
    <n v="3"/>
    <s v="Dr. Sharma"/>
    <n v="10295"/>
    <x v="2"/>
    <x v="1"/>
    <x v="0"/>
    <d v="2023-05-30T00:00:00"/>
    <d v="2023-05-31T05:00:00"/>
    <s v="Ultrasound"/>
    <s v="Accepted"/>
    <s v="Morning"/>
    <n v="8"/>
    <n v="12"/>
    <s v="Plan B"/>
    <x v="1"/>
  </r>
  <r>
    <x v="318"/>
    <x v="34"/>
    <x v="4"/>
    <x v="229"/>
    <d v="2024-03-29T00:00:00"/>
    <x v="14"/>
    <x v="5"/>
    <n v="1"/>
    <s v="Dr. Gupta"/>
    <n v="25460"/>
    <x v="0"/>
    <x v="0"/>
    <x v="0"/>
    <d v="2024-11-03T00:00:00"/>
    <d v="2024-12-03T14:00:00"/>
    <s v="Blood Test"/>
    <s v="Accepted"/>
    <s v="Morning"/>
    <n v="9"/>
    <n v="10"/>
    <s v="Plan A"/>
    <x v="16"/>
  </r>
  <r>
    <x v="319"/>
    <x v="41"/>
    <x v="4"/>
    <x v="230"/>
    <d v="2023-05-21T00:00:00"/>
    <x v="12"/>
    <x v="3"/>
    <n v="3"/>
    <s v="Dr. Sharma"/>
    <n v="19963"/>
    <x v="3"/>
    <x v="1"/>
    <x v="1"/>
    <d v="2023-11-05T00:00:00"/>
    <d v="2023-12-05T04:00:00"/>
    <s v="CT Scan"/>
    <s v="Rejected"/>
    <s v="Afternoon"/>
    <n v="4"/>
    <n v="8"/>
    <s v="Plan A"/>
    <x v="14"/>
  </r>
  <r>
    <x v="320"/>
    <x v="16"/>
    <x v="5"/>
    <x v="231"/>
    <d v="2023-02-22T00:00:00"/>
    <x v="12"/>
    <x v="3"/>
    <n v="3"/>
    <s v="Dr. Sharma"/>
    <n v="16580"/>
    <x v="3"/>
    <x v="1"/>
    <x v="0"/>
    <d v="2023-09-02T00:00:00"/>
    <d v="2023-10-02T01:00:00"/>
    <s v="X-Ray"/>
    <s v="Accepted"/>
    <s v="Night"/>
    <n v="4"/>
    <n v="8"/>
    <s v="Plan A"/>
    <x v="9"/>
  </r>
  <r>
    <x v="321"/>
    <x v="22"/>
    <x v="3"/>
    <x v="232"/>
    <d v="2023-11-14T00:00:00"/>
    <x v="2"/>
    <x v="1"/>
    <n v="4"/>
    <s v="Dr. Sharma"/>
    <n v="27286"/>
    <x v="0"/>
    <x v="0"/>
    <x v="0"/>
    <d v="2023-08-11T00:00:00"/>
    <d v="2023-08-11T01:00:00"/>
    <s v="CT Scan"/>
    <s v="Rejected"/>
    <s v="Morning"/>
    <n v="7"/>
    <n v="10"/>
    <s v="Plan A"/>
    <x v="9"/>
  </r>
  <r>
    <x v="322"/>
    <x v="80"/>
    <x v="4"/>
    <x v="48"/>
    <d v="2024-01-24T00:00:00"/>
    <x v="8"/>
    <x v="3"/>
    <n v="1"/>
    <s v="Dr. Gupta"/>
    <n v="32328"/>
    <x v="4"/>
    <x v="1"/>
    <x v="0"/>
    <d v="2024-07-01T00:00:00"/>
    <d v="2024-08-01T22:00:00"/>
    <s v="CT Scan"/>
    <s v="Accepted"/>
    <s v="Night"/>
    <n v="5"/>
    <n v="10"/>
    <s v="Plan A"/>
    <x v="18"/>
  </r>
  <r>
    <x v="323"/>
    <x v="39"/>
    <x v="2"/>
    <x v="189"/>
    <d v="2023-11-02T00:00:00"/>
    <x v="4"/>
    <x v="5"/>
    <n v="1"/>
    <s v="Dr. Rao"/>
    <n v="24093"/>
    <x v="1"/>
    <x v="1"/>
    <x v="1"/>
    <d v="2023-05-02T00:00:00"/>
    <d v="2023-05-02T14:00:00"/>
    <s v="CT Scan"/>
    <s v="Accepted"/>
    <s v="Night"/>
    <n v="9"/>
    <n v="10"/>
    <s v="Plan A"/>
    <x v="15"/>
  </r>
  <r>
    <x v="324"/>
    <x v="14"/>
    <x v="1"/>
    <x v="233"/>
    <d v="2024-05-01T00:00:00"/>
    <x v="3"/>
    <x v="1"/>
    <n v="3"/>
    <s v="Dr. Rao"/>
    <n v="26605"/>
    <x v="3"/>
    <x v="1"/>
    <x v="0"/>
    <d v="2023-12-28T00:00:00"/>
    <d v="2023-12-28T14:00:00"/>
    <s v="MRI"/>
    <s v="Rejected"/>
    <s v="Night"/>
    <n v="9"/>
    <n v="12"/>
    <s v="Plan A"/>
    <x v="19"/>
  </r>
  <r>
    <x v="325"/>
    <x v="87"/>
    <x v="4"/>
    <x v="215"/>
    <d v="2023-07-08T00:00:00"/>
    <x v="3"/>
    <x v="1"/>
    <n v="4"/>
    <s v="Dr. Sharma"/>
    <n v="49813"/>
    <x v="0"/>
    <x v="1"/>
    <x v="1"/>
    <d v="2023-07-30T00:00:00"/>
    <d v="2023-07-30T18:00:00"/>
    <s v="X-Ray"/>
    <s v="Accepted"/>
    <s v="Morning"/>
    <n v="4"/>
    <n v="8"/>
    <s v="Plan B"/>
    <x v="0"/>
  </r>
  <r>
    <x v="326"/>
    <x v="46"/>
    <x v="2"/>
    <x v="161"/>
    <d v="2023-09-26T00:00:00"/>
    <x v="14"/>
    <x v="2"/>
    <n v="3"/>
    <s v="Dr. Gupta"/>
    <n v="47705"/>
    <x v="0"/>
    <x v="1"/>
    <x v="1"/>
    <d v="2023-09-13T00:00:00"/>
    <d v="2023-09-14T22:00:00"/>
    <s v="X-Ray"/>
    <s v="Accepted"/>
    <s v="Afternoon"/>
    <n v="9"/>
    <n v="10"/>
    <s v="Plan A"/>
    <x v="2"/>
  </r>
  <r>
    <x v="327"/>
    <x v="66"/>
    <x v="0"/>
    <x v="234"/>
    <d v="2023-04-26T00:00:00"/>
    <x v="12"/>
    <x v="2"/>
    <n v="3"/>
    <s v="Dr. Rao"/>
    <n v="11722"/>
    <x v="4"/>
    <x v="1"/>
    <x v="0"/>
    <d v="2023-12-04T00:00:00"/>
    <d v="2023-12-04T05:00:00"/>
    <s v="CT Scan"/>
    <s v="Accepted"/>
    <s v="Morning"/>
    <n v="5"/>
    <n v="8"/>
    <s v="Plan A"/>
    <x v="0"/>
  </r>
  <r>
    <x v="328"/>
    <x v="9"/>
    <x v="2"/>
    <x v="149"/>
    <d v="2023-12-30T00:00:00"/>
    <x v="4"/>
    <x v="3"/>
    <n v="2"/>
    <s v="Dr. Rao"/>
    <n v="45969"/>
    <x v="4"/>
    <x v="1"/>
    <x v="0"/>
    <d v="2023-12-26T00:00:00"/>
    <d v="2023-12-27T13:00:00"/>
    <s v="Blood Test"/>
    <s v="Accepted"/>
    <s v="Night"/>
    <n v="11"/>
    <n v="8"/>
    <s v="Plan B"/>
    <x v="9"/>
  </r>
  <r>
    <x v="329"/>
    <x v="87"/>
    <x v="1"/>
    <x v="145"/>
    <d v="2024-03-03T00:00:00"/>
    <x v="0"/>
    <x v="1"/>
    <n v="2"/>
    <s v="Dr. Rao"/>
    <n v="41912"/>
    <x v="2"/>
    <x v="1"/>
    <x v="0"/>
    <d v="2024-02-19T00:00:00"/>
    <d v="2024-02-19T07:00:00"/>
    <s v="CT Scan"/>
    <s v="Accepted"/>
    <s v="Morning"/>
    <n v="6"/>
    <n v="12"/>
    <s v="Plan B"/>
    <x v="19"/>
  </r>
  <r>
    <x v="330"/>
    <x v="12"/>
    <x v="2"/>
    <x v="176"/>
    <d v="2023-10-06T00:00:00"/>
    <x v="2"/>
    <x v="2"/>
    <n v="4"/>
    <s v="Dr. Gupta"/>
    <n v="43374"/>
    <x v="3"/>
    <x v="0"/>
    <x v="0"/>
    <d v="2023-03-06T00:00:00"/>
    <d v="2023-04-06T11:00:00"/>
    <s v="MRI"/>
    <s v="Accepted"/>
    <s v="Morning"/>
    <n v="6"/>
    <n v="8"/>
    <s v="Plan C"/>
    <x v="3"/>
  </r>
  <r>
    <x v="331"/>
    <x v="17"/>
    <x v="5"/>
    <x v="166"/>
    <d v="2023-05-09T00:00:00"/>
    <x v="5"/>
    <x v="5"/>
    <n v="5"/>
    <s v="Dr. Gupta"/>
    <n v="11766"/>
    <x v="2"/>
    <x v="1"/>
    <x v="1"/>
    <d v="2023-08-27T00:00:00"/>
    <d v="2023-08-27T12:00:00"/>
    <s v="Ultrasound"/>
    <s v="Accepted"/>
    <s v="Night"/>
    <n v="5"/>
    <n v="10"/>
    <s v="Plan A"/>
    <x v="3"/>
  </r>
  <r>
    <x v="332"/>
    <x v="48"/>
    <x v="1"/>
    <x v="49"/>
    <d v="2023-06-24T00:00:00"/>
    <x v="6"/>
    <x v="2"/>
    <n v="2"/>
    <s v="Dr. Sharma"/>
    <n v="20928"/>
    <x v="0"/>
    <x v="1"/>
    <x v="0"/>
    <d v="2023-12-06T00:00:00"/>
    <d v="2023-06-13T00:00:00"/>
    <s v="MRI"/>
    <s v="Accepted"/>
    <s v="Night"/>
    <n v="9"/>
    <n v="10"/>
    <s v="Plan A"/>
    <x v="8"/>
  </r>
  <r>
    <x v="333"/>
    <x v="53"/>
    <x v="3"/>
    <x v="235"/>
    <d v="2023-12-07T00:00:00"/>
    <x v="0"/>
    <x v="0"/>
    <n v="5"/>
    <s v="Dr. Patel"/>
    <n v="26274"/>
    <x v="1"/>
    <x v="0"/>
    <x v="0"/>
    <d v="2023-06-30T00:00:00"/>
    <d v="2023-06-30T21:00:00"/>
    <s v="Blood Test"/>
    <s v="Accepted"/>
    <s v="Morning"/>
    <n v="9"/>
    <n v="8"/>
    <s v="Plan A"/>
    <x v="1"/>
  </r>
  <r>
    <x v="334"/>
    <x v="73"/>
    <x v="0"/>
    <x v="236"/>
    <d v="2024-05-03T00:00:00"/>
    <x v="1"/>
    <x v="0"/>
    <n v="1"/>
    <s v="Dr. Rao"/>
    <n v="39416"/>
    <x v="1"/>
    <x v="1"/>
    <x v="1"/>
    <d v="2024-02-22T00:00:00"/>
    <d v="2024-02-22T13:00:00"/>
    <s v="CT Scan"/>
    <s v="Accepted"/>
    <s v="Morning"/>
    <n v="9"/>
    <n v="8"/>
    <s v="Plan A"/>
    <x v="19"/>
  </r>
  <r>
    <x v="335"/>
    <x v="6"/>
    <x v="5"/>
    <x v="1"/>
    <d v="2023-03-02T00:00:00"/>
    <x v="6"/>
    <x v="2"/>
    <n v="2"/>
    <s v="Dr. Patel"/>
    <n v="25612"/>
    <x v="4"/>
    <x v="0"/>
    <x v="0"/>
    <d v="2023-01-26T00:00:00"/>
    <d v="2023-01-27T06:00:00"/>
    <s v="X-Ray"/>
    <s v="Accepted"/>
    <s v="Morning"/>
    <n v="10"/>
    <n v="12"/>
    <s v="Plan C"/>
    <x v="1"/>
  </r>
  <r>
    <x v="336"/>
    <x v="18"/>
    <x v="3"/>
    <x v="237"/>
    <d v="2023-07-13T00:00:00"/>
    <x v="12"/>
    <x v="1"/>
    <n v="2"/>
    <s v="Dr. Gupta"/>
    <n v="39898"/>
    <x v="1"/>
    <x v="1"/>
    <x v="0"/>
    <d v="2023-06-29T00:00:00"/>
    <d v="2023-06-29T08:00:00"/>
    <s v="CT Scan"/>
    <s v="Accepted"/>
    <s v="Morning"/>
    <n v="7"/>
    <n v="10"/>
    <s v="Plan B"/>
    <x v="5"/>
  </r>
  <r>
    <x v="337"/>
    <x v="84"/>
    <x v="2"/>
    <x v="238"/>
    <d v="2023-12-15T00:00:00"/>
    <x v="6"/>
    <x v="1"/>
    <n v="4"/>
    <s v="Dr. Gupta"/>
    <n v="34047"/>
    <x v="1"/>
    <x v="0"/>
    <x v="0"/>
    <d v="2023-04-12T00:00:00"/>
    <d v="2023-04-12T17:00:00"/>
    <s v="Blood Test"/>
    <s v="Accepted"/>
    <s v="Afternoon"/>
    <n v="8"/>
    <n v="10"/>
    <s v="Plan B"/>
    <x v="11"/>
  </r>
  <r>
    <x v="338"/>
    <x v="33"/>
    <x v="1"/>
    <x v="239"/>
    <d v="2024-04-03T00:00:00"/>
    <x v="1"/>
    <x v="4"/>
    <n v="5"/>
    <s v="Dr. Gupta"/>
    <n v="48356"/>
    <x v="1"/>
    <x v="0"/>
    <x v="0"/>
    <d v="2024-02-25T00:00:00"/>
    <d v="2024-02-26T19:00:00"/>
    <s v="X-Ray"/>
    <s v="Accepted"/>
    <s v="Morning"/>
    <n v="5"/>
    <n v="8"/>
    <s v="Plan A"/>
    <x v="19"/>
  </r>
  <r>
    <x v="339"/>
    <x v="86"/>
    <x v="0"/>
    <x v="158"/>
    <d v="2023-09-17T00:00:00"/>
    <x v="5"/>
    <x v="0"/>
    <n v="2"/>
    <s v="Dr. Patel"/>
    <n v="42134"/>
    <x v="0"/>
    <x v="1"/>
    <x v="0"/>
    <d v="2023-08-09T00:00:00"/>
    <d v="2023-09-09T08:00:00"/>
    <s v="MRI"/>
    <s v="Accepted"/>
    <s v="Afternoon"/>
    <n v="5"/>
    <n v="8"/>
    <s v="Plan A"/>
    <x v="9"/>
  </r>
  <r>
    <x v="340"/>
    <x v="47"/>
    <x v="5"/>
    <x v="53"/>
    <d v="2023-05-10T00:00:00"/>
    <x v="7"/>
    <x v="5"/>
    <n v="2"/>
    <s v="Dr. Gupta"/>
    <n v="6506"/>
    <x v="1"/>
    <x v="1"/>
    <x v="0"/>
    <d v="2023-09-26T00:00:00"/>
    <d v="2023-09-27T10:00:00"/>
    <s v="Ultrasound"/>
    <s v="Accepted"/>
    <s v="Night"/>
    <n v="10"/>
    <n v="8"/>
    <s v="Plan A"/>
    <x v="1"/>
  </r>
  <r>
    <x v="341"/>
    <x v="20"/>
    <x v="3"/>
    <x v="22"/>
    <d v="2023-06-26T00:00:00"/>
    <x v="14"/>
    <x v="1"/>
    <n v="4"/>
    <s v="Dr. Sharma"/>
    <n v="20222"/>
    <x v="1"/>
    <x v="1"/>
    <x v="0"/>
    <d v="2023-08-06T00:00:00"/>
    <d v="2023-09-06T17:00:00"/>
    <s v="Ultrasound"/>
    <s v="Accepted"/>
    <s v="Afternoon"/>
    <n v="5"/>
    <n v="10"/>
    <s v="Plan C"/>
    <x v="8"/>
  </r>
  <r>
    <x v="342"/>
    <x v="84"/>
    <x v="3"/>
    <x v="240"/>
    <d v="2023-04-30T00:00:00"/>
    <x v="9"/>
    <x v="3"/>
    <n v="4"/>
    <s v="Dr. Gupta"/>
    <n v="17363"/>
    <x v="1"/>
    <x v="1"/>
    <x v="1"/>
    <d v="2023-04-17T00:00:00"/>
    <d v="2023-04-17T21:00:00"/>
    <s v="CT Scan"/>
    <s v="Accepted"/>
    <s v="Night"/>
    <n v="11"/>
    <n v="8"/>
    <s v="Plan C"/>
    <x v="0"/>
  </r>
  <r>
    <x v="343"/>
    <x v="87"/>
    <x v="0"/>
    <x v="241"/>
    <d v="2024-01-29T00:00:00"/>
    <x v="2"/>
    <x v="0"/>
    <n v="5"/>
    <s v="Dr. Mehta"/>
    <n v="24613"/>
    <x v="2"/>
    <x v="1"/>
    <x v="0"/>
    <d v="2024-01-24T00:00:00"/>
    <d v="2024-01-25T15:00:00"/>
    <s v="MRI"/>
    <s v="Rejected"/>
    <s v="Afternoon"/>
    <n v="11"/>
    <n v="12"/>
    <s v="Plan B"/>
    <x v="10"/>
  </r>
  <r>
    <x v="344"/>
    <x v="9"/>
    <x v="2"/>
    <x v="242"/>
    <d v="2023-02-15T00:00:00"/>
    <x v="10"/>
    <x v="5"/>
    <n v="1"/>
    <s v="Dr. Patel"/>
    <n v="49563"/>
    <x v="0"/>
    <x v="0"/>
    <x v="0"/>
    <d v="2023-08-02T00:00:00"/>
    <d v="2023-09-02T01:00:00"/>
    <s v="Blood Test"/>
    <s v="Accepted"/>
    <s v="Night"/>
    <n v="5"/>
    <n v="12"/>
    <s v="Plan A"/>
    <x v="2"/>
  </r>
  <r>
    <x v="345"/>
    <x v="73"/>
    <x v="0"/>
    <x v="243"/>
    <d v="2024-03-05T00:00:00"/>
    <x v="1"/>
    <x v="5"/>
    <n v="1"/>
    <s v="Dr. Mehta"/>
    <n v="35628"/>
    <x v="4"/>
    <x v="1"/>
    <x v="0"/>
    <d v="2024-04-21T00:00:00"/>
    <d v="2024-04-22T16:00:00"/>
    <s v="Ultrasound"/>
    <s v="Accepted"/>
    <s v="Morning"/>
    <n v="10"/>
    <n v="8"/>
    <s v="Plan A"/>
    <x v="13"/>
  </r>
  <r>
    <x v="346"/>
    <x v="27"/>
    <x v="3"/>
    <x v="244"/>
    <d v="2023-08-18T00:00:00"/>
    <x v="2"/>
    <x v="1"/>
    <n v="3"/>
    <s v="Dr. Gupta"/>
    <n v="47626"/>
    <x v="2"/>
    <x v="1"/>
    <x v="0"/>
    <d v="2023-08-15T00:00:00"/>
    <d v="2023-08-16T02:00:00"/>
    <s v="MRI"/>
    <s v="Accepted"/>
    <s v="Afternoon"/>
    <n v="5"/>
    <n v="12"/>
    <s v="Plan A"/>
    <x v="3"/>
  </r>
  <r>
    <x v="347"/>
    <x v="67"/>
    <x v="4"/>
    <x v="245"/>
    <d v="2023-07-29T00:00:00"/>
    <x v="5"/>
    <x v="5"/>
    <n v="2"/>
    <s v="Dr. Sharma"/>
    <n v="9136"/>
    <x v="3"/>
    <x v="0"/>
    <x v="0"/>
    <d v="2023-07-24T00:00:00"/>
    <d v="2023-07-25T14:00:00"/>
    <s v="CT Scan"/>
    <s v="Accepted"/>
    <s v="Afternoon"/>
    <n v="9"/>
    <n v="12"/>
    <s v="Plan A"/>
    <x v="11"/>
  </r>
  <r>
    <x v="348"/>
    <x v="65"/>
    <x v="5"/>
    <x v="246"/>
    <d v="2024-04-27T00:00:00"/>
    <x v="0"/>
    <x v="1"/>
    <n v="5"/>
    <s v="Dr. Rao"/>
    <n v="16161"/>
    <x v="0"/>
    <x v="1"/>
    <x v="0"/>
    <d v="2024-12-04T00:00:00"/>
    <d v="2024-12-04T08:00:00"/>
    <s v="X-Ray"/>
    <s v="Accepted"/>
    <s v="Night"/>
    <n v="10"/>
    <n v="12"/>
    <s v="Plan C"/>
    <x v="13"/>
  </r>
  <r>
    <x v="349"/>
    <x v="74"/>
    <x v="0"/>
    <x v="247"/>
    <d v="2024-05-01T00:00:00"/>
    <x v="0"/>
    <x v="2"/>
    <n v="2"/>
    <s v="Dr. Gupta"/>
    <n v="40457"/>
    <x v="0"/>
    <x v="0"/>
    <x v="1"/>
    <d v="2023-12-20T00:00:00"/>
    <d v="2023-12-20T23:00:00"/>
    <s v="CT Scan"/>
    <s v="Accepted"/>
    <s v="Night"/>
    <n v="7"/>
    <n v="12"/>
    <s v="Plan B"/>
    <x v="9"/>
  </r>
  <r>
    <x v="350"/>
    <x v="68"/>
    <x v="3"/>
    <x v="248"/>
    <d v="2023-11-19T00:00:00"/>
    <x v="12"/>
    <x v="0"/>
    <n v="5"/>
    <s v="Dr. Sharma"/>
    <n v="28574"/>
    <x v="3"/>
    <x v="0"/>
    <x v="0"/>
    <d v="2023-09-11T00:00:00"/>
    <d v="2023-09-11T23:00:00"/>
    <s v="CT Scan"/>
    <s v="Accepted"/>
    <s v="Afternoon"/>
    <n v="4"/>
    <n v="12"/>
    <s v="Plan B"/>
    <x v="2"/>
  </r>
  <r>
    <x v="351"/>
    <x v="13"/>
    <x v="2"/>
    <x v="43"/>
    <d v="2023-08-30T00:00:00"/>
    <x v="6"/>
    <x v="4"/>
    <n v="5"/>
    <s v="Dr. Patel"/>
    <n v="31902"/>
    <x v="3"/>
    <x v="1"/>
    <x v="0"/>
    <d v="2023-08-21T00:00:00"/>
    <d v="2023-08-22T06:00:00"/>
    <s v="MRI"/>
    <s v="Accepted"/>
    <s v="Night"/>
    <n v="9"/>
    <n v="10"/>
    <s v="Plan C"/>
    <x v="3"/>
  </r>
  <r>
    <x v="352"/>
    <x v="80"/>
    <x v="3"/>
    <x v="4"/>
    <d v="2023-08-26T00:00:00"/>
    <x v="9"/>
    <x v="2"/>
    <n v="5"/>
    <s v="Dr. Mehta"/>
    <n v="7810"/>
    <x v="3"/>
    <x v="1"/>
    <x v="1"/>
    <d v="2023-08-17T00:00:00"/>
    <d v="2023-08-18T16:00:00"/>
    <s v="Ultrasound"/>
    <s v="Accepted"/>
    <s v="Morning"/>
    <n v="11"/>
    <n v="8"/>
    <s v="Plan A"/>
    <x v="3"/>
  </r>
  <r>
    <x v="353"/>
    <x v="18"/>
    <x v="2"/>
    <x v="249"/>
    <d v="2023-05-02T00:00:00"/>
    <x v="0"/>
    <x v="0"/>
    <n v="2"/>
    <s v="Dr. Mehta"/>
    <n v="16663"/>
    <x v="4"/>
    <x v="1"/>
    <x v="0"/>
    <d v="2023-01-22T00:00:00"/>
    <d v="2023-01-22T12:00:00"/>
    <s v="MRI"/>
    <s v="Accepted"/>
    <s v="Afternoon"/>
    <n v="9"/>
    <n v="12"/>
    <s v="Plan B"/>
    <x v="1"/>
  </r>
  <r>
    <x v="354"/>
    <x v="36"/>
    <x v="0"/>
    <x v="250"/>
    <d v="2023-07-22T00:00:00"/>
    <x v="5"/>
    <x v="1"/>
    <n v="4"/>
    <s v="Dr. Mehta"/>
    <n v="11152"/>
    <x v="1"/>
    <x v="0"/>
    <x v="0"/>
    <d v="2023-07-15T00:00:00"/>
    <d v="2023-07-16T20:00:00"/>
    <s v="X-Ray"/>
    <s v="Accepted"/>
    <s v="Morning"/>
    <n v="8"/>
    <n v="8"/>
    <s v="Plan B"/>
    <x v="11"/>
  </r>
  <r>
    <x v="355"/>
    <x v="71"/>
    <x v="2"/>
    <x v="79"/>
    <d v="2024-02-14T00:00:00"/>
    <x v="4"/>
    <x v="0"/>
    <n v="2"/>
    <s v="Dr. Patel"/>
    <n v="5012"/>
    <x v="0"/>
    <x v="1"/>
    <x v="0"/>
    <d v="2024-10-02T00:00:00"/>
    <d v="2024-11-02T22:00:00"/>
    <s v="MRI"/>
    <s v="Accepted"/>
    <s v="Afternoon"/>
    <n v="10"/>
    <n v="12"/>
    <s v="Plan C"/>
    <x v="19"/>
  </r>
  <r>
    <x v="356"/>
    <x v="51"/>
    <x v="1"/>
    <x v="251"/>
    <d v="2023-07-12T00:00:00"/>
    <x v="7"/>
    <x v="1"/>
    <n v="5"/>
    <s v="Dr. Sharma"/>
    <n v="16162"/>
    <x v="1"/>
    <x v="0"/>
    <x v="1"/>
    <d v="2023-02-12T00:00:00"/>
    <d v="2023-02-12T20:00:00"/>
    <s v="Blood Test"/>
    <s v="Accepted"/>
    <s v="Morning"/>
    <n v="11"/>
    <n v="10"/>
    <s v="Plan A"/>
    <x v="5"/>
  </r>
  <r>
    <x v="357"/>
    <x v="32"/>
    <x v="1"/>
    <x v="140"/>
    <d v="2023-10-20T00:00:00"/>
    <x v="1"/>
    <x v="2"/>
    <n v="3"/>
    <s v="Dr. Patel"/>
    <n v="27322"/>
    <x v="1"/>
    <x v="0"/>
    <x v="1"/>
    <d v="2023-10-10T00:00:00"/>
    <d v="2023-11-10T16:00:00"/>
    <s v="CT Scan"/>
    <s v="Accepted"/>
    <s v="Afternoon"/>
    <n v="4"/>
    <n v="10"/>
    <s v="Plan B"/>
    <x v="15"/>
  </r>
  <r>
    <x v="358"/>
    <x v="24"/>
    <x v="1"/>
    <x v="41"/>
    <d v="2023-03-23T00:00:00"/>
    <x v="12"/>
    <x v="3"/>
    <n v="1"/>
    <s v="Dr. Mehta"/>
    <n v="12999"/>
    <x v="3"/>
    <x v="1"/>
    <x v="0"/>
    <d v="2023-08-03T00:00:00"/>
    <d v="2023-09-03T14:00:00"/>
    <s v="Ultrasound"/>
    <s v="Accepted"/>
    <s v="Night"/>
    <n v="5"/>
    <n v="12"/>
    <s v="Plan A"/>
    <x v="5"/>
  </r>
  <r>
    <x v="359"/>
    <x v="55"/>
    <x v="4"/>
    <x v="140"/>
    <d v="2023-10-14T00:00:00"/>
    <x v="4"/>
    <x v="3"/>
    <n v="5"/>
    <s v="Dr. Gupta"/>
    <n v="12219"/>
    <x v="4"/>
    <x v="0"/>
    <x v="1"/>
    <d v="2023-12-10T00:00:00"/>
    <d v="2023-12-10T06:00:00"/>
    <s v="X-Ray"/>
    <s v="Accepted"/>
    <s v="Afternoon"/>
    <n v="4"/>
    <n v="12"/>
    <s v="Plan B"/>
    <x v="15"/>
  </r>
  <r>
    <x v="360"/>
    <x v="45"/>
    <x v="0"/>
    <x v="252"/>
    <d v="2023-12-27T00:00:00"/>
    <x v="4"/>
    <x v="0"/>
    <n v="3"/>
    <s v="Dr. Rao"/>
    <n v="10328"/>
    <x v="2"/>
    <x v="1"/>
    <x v="0"/>
    <d v="2023-12-23T00:00:00"/>
    <d v="2023-12-24T20:00:00"/>
    <s v="CT Scan"/>
    <s v="Accepted"/>
    <s v="Morning"/>
    <n v="7"/>
    <n v="12"/>
    <s v="Plan C"/>
    <x v="9"/>
  </r>
  <r>
    <x v="361"/>
    <x v="86"/>
    <x v="3"/>
    <x v="81"/>
    <d v="2024-09-06T00:00:00"/>
    <x v="7"/>
    <x v="3"/>
    <n v="4"/>
    <s v="Dr. Patel"/>
    <n v="8621"/>
    <x v="4"/>
    <x v="0"/>
    <x v="0"/>
    <d v="2024-01-06T00:00:00"/>
    <d v="2024-01-06T09:00:00"/>
    <s v="MRI"/>
    <s v="Accepted"/>
    <s v="Afternoon"/>
    <n v="6"/>
    <n v="10"/>
    <s v="Plan A"/>
    <x v="12"/>
  </r>
  <r>
    <x v="362"/>
    <x v="9"/>
    <x v="3"/>
    <x v="253"/>
    <d v="2024-02-19T00:00:00"/>
    <x v="5"/>
    <x v="1"/>
    <n v="5"/>
    <s v="Dr. Patel"/>
    <n v="29256"/>
    <x v="1"/>
    <x v="1"/>
    <x v="1"/>
    <d v="2024-10-02T00:00:00"/>
    <d v="2024-10-02T21:00:00"/>
    <s v="Blood Test"/>
    <s v="Accepted"/>
    <s v="Morning"/>
    <n v="9"/>
    <n v="10"/>
    <s v="Plan C"/>
    <x v="19"/>
  </r>
  <r>
    <x v="363"/>
    <x v="72"/>
    <x v="4"/>
    <x v="254"/>
    <d v="2023-10-12T00:00:00"/>
    <x v="7"/>
    <x v="5"/>
    <n v="3"/>
    <s v="Dr. Sharma"/>
    <n v="49433"/>
    <x v="4"/>
    <x v="1"/>
    <x v="1"/>
    <d v="2023-03-12T00:00:00"/>
    <d v="2023-03-12T08:00:00"/>
    <s v="MRI"/>
    <s v="Rejected"/>
    <s v="Morning"/>
    <n v="10"/>
    <n v="8"/>
    <s v="Plan B"/>
    <x v="8"/>
  </r>
  <r>
    <x v="364"/>
    <x v="17"/>
    <x v="2"/>
    <x v="255"/>
    <d v="2023-11-02T00:00:00"/>
    <x v="14"/>
    <x v="1"/>
    <n v="5"/>
    <s v="Dr. Sharma"/>
    <n v="16314"/>
    <x v="3"/>
    <x v="1"/>
    <x v="0"/>
    <d v="2023-01-24T00:00:00"/>
    <d v="2023-01-24T16:00:00"/>
    <s v="CT Scan"/>
    <s v="Accepted"/>
    <s v="Morning"/>
    <n v="10"/>
    <n v="10"/>
    <s v="Plan C"/>
    <x v="1"/>
  </r>
  <r>
    <x v="365"/>
    <x v="30"/>
    <x v="4"/>
    <x v="211"/>
    <d v="2023-02-05T00:00:00"/>
    <x v="3"/>
    <x v="5"/>
    <n v="2"/>
    <s v="Dr. Patel"/>
    <n v="5652"/>
    <x v="2"/>
    <x v="0"/>
    <x v="0"/>
    <d v="2023-04-24T00:00:00"/>
    <d v="2023-04-24T20:00:00"/>
    <s v="X-Ray"/>
    <s v="Accepted"/>
    <s v="Night"/>
    <n v="4"/>
    <n v="12"/>
    <s v="Plan C"/>
    <x v="0"/>
  </r>
  <r>
    <x v="366"/>
    <x v="75"/>
    <x v="2"/>
    <x v="192"/>
    <d v="2023-08-10T00:00:00"/>
    <x v="14"/>
    <x v="2"/>
    <n v="3"/>
    <s v="Dr. Mehta"/>
    <n v="21182"/>
    <x v="3"/>
    <x v="1"/>
    <x v="0"/>
    <d v="2023-09-25T00:00:00"/>
    <d v="2023-09-25T08:00:00"/>
    <s v="Ultrasound"/>
    <s v="Accepted"/>
    <s v="Afternoon"/>
    <n v="8"/>
    <n v="8"/>
    <s v="Plan C"/>
    <x v="2"/>
  </r>
  <r>
    <x v="367"/>
    <x v="44"/>
    <x v="2"/>
    <x v="98"/>
    <d v="2023-07-07T00:00:00"/>
    <x v="5"/>
    <x v="4"/>
    <n v="2"/>
    <s v="Dr. Rao"/>
    <n v="46580"/>
    <x v="2"/>
    <x v="1"/>
    <x v="0"/>
    <d v="2023-06-27T00:00:00"/>
    <d v="2023-06-27T12:00:00"/>
    <s v="CT Scan"/>
    <s v="Accepted"/>
    <s v="Morning"/>
    <n v="11"/>
    <n v="10"/>
    <s v="Plan B"/>
    <x v="7"/>
  </r>
  <r>
    <x v="368"/>
    <x v="58"/>
    <x v="5"/>
    <x v="75"/>
    <d v="2023-04-10T00:00:00"/>
    <x v="5"/>
    <x v="5"/>
    <n v="2"/>
    <s v="Dr. Sharma"/>
    <n v="41558"/>
    <x v="1"/>
    <x v="1"/>
    <x v="0"/>
    <d v="2023-09-28T00:00:00"/>
    <d v="2023-09-29T00:00:00"/>
    <s v="X-Ray"/>
    <s v="Accepted"/>
    <s v="Night"/>
    <n v="7"/>
    <n v="10"/>
    <s v="Plan A"/>
    <x v="2"/>
  </r>
  <r>
    <x v="369"/>
    <x v="83"/>
    <x v="3"/>
    <x v="242"/>
    <d v="2023-02-15T00:00:00"/>
    <x v="10"/>
    <x v="3"/>
    <n v="3"/>
    <s v="Dr. Mehta"/>
    <n v="20659"/>
    <x v="2"/>
    <x v="1"/>
    <x v="0"/>
    <d v="2023-05-02T00:00:00"/>
    <d v="2023-06-02T21:00:00"/>
    <s v="CT Scan"/>
    <s v="Accepted"/>
    <s v="Morning"/>
    <n v="6"/>
    <n v="12"/>
    <s v="Plan C"/>
    <x v="2"/>
  </r>
  <r>
    <x v="370"/>
    <x v="59"/>
    <x v="1"/>
    <x v="157"/>
    <d v="2023-04-24T00:00:00"/>
    <x v="2"/>
    <x v="1"/>
    <n v="1"/>
    <s v="Dr. Gupta"/>
    <n v="39413"/>
    <x v="2"/>
    <x v="0"/>
    <x v="0"/>
    <d v="2023-04-21T00:00:00"/>
    <d v="2023-04-21T10:00:00"/>
    <s v="Blood Test"/>
    <s v="Accepted"/>
    <s v="Afternoon"/>
    <n v="7"/>
    <n v="8"/>
    <s v="Plan A"/>
    <x v="0"/>
  </r>
  <r>
    <x v="371"/>
    <x v="40"/>
    <x v="2"/>
    <x v="256"/>
    <d v="2024-03-21T00:00:00"/>
    <x v="4"/>
    <x v="2"/>
    <n v="3"/>
    <s v="Dr. Sharma"/>
    <n v="15435"/>
    <x v="2"/>
    <x v="0"/>
    <x v="0"/>
    <d v="2024-03-16T00:00:00"/>
    <d v="2024-03-17T09:00:00"/>
    <s v="MRI"/>
    <s v="Accepted"/>
    <s v="Night"/>
    <n v="10"/>
    <n v="10"/>
    <s v="Plan B"/>
    <x v="16"/>
  </r>
  <r>
    <x v="372"/>
    <x v="82"/>
    <x v="5"/>
    <x v="257"/>
    <d v="2023-12-28T00:00:00"/>
    <x v="6"/>
    <x v="3"/>
    <n v="1"/>
    <s v="Dr. Mehta"/>
    <n v="33067"/>
    <x v="4"/>
    <x v="1"/>
    <x v="0"/>
    <d v="2023-12-18T00:00:00"/>
    <d v="2023-12-19T01:00:00"/>
    <s v="Ultrasound"/>
    <s v="Accepted"/>
    <s v="Morning"/>
    <n v="5"/>
    <n v="10"/>
    <s v="Plan A"/>
    <x v="9"/>
  </r>
  <r>
    <x v="373"/>
    <x v="35"/>
    <x v="3"/>
    <x v="179"/>
    <d v="2023-11-30T00:00:00"/>
    <x v="11"/>
    <x v="2"/>
    <n v="5"/>
    <s v="Dr. Mehta"/>
    <n v="27258"/>
    <x v="4"/>
    <x v="1"/>
    <x v="0"/>
    <d v="2023-11-13T00:00:00"/>
    <d v="2023-11-14T03:00:00"/>
    <s v="X-Ray"/>
    <s v="Accepted"/>
    <s v="Morning"/>
    <n v="6"/>
    <n v="12"/>
    <s v="Plan C"/>
    <x v="14"/>
  </r>
  <r>
    <x v="374"/>
    <x v="19"/>
    <x v="1"/>
    <x v="258"/>
    <d v="2024-03-29T00:00:00"/>
    <x v="1"/>
    <x v="4"/>
    <n v="5"/>
    <s v="Dr. Rao"/>
    <n v="33287"/>
    <x v="1"/>
    <x v="1"/>
    <x v="1"/>
    <d v="2024-03-19T00:00:00"/>
    <d v="2024-03-20T15:00:00"/>
    <s v="Ultrasound"/>
    <s v="Accepted"/>
    <s v="Morning"/>
    <n v="11"/>
    <n v="8"/>
    <s v="Plan C"/>
    <x v="16"/>
  </r>
  <r>
    <x v="375"/>
    <x v="6"/>
    <x v="2"/>
    <x v="259"/>
    <d v="2024-10-06T00:00:00"/>
    <x v="3"/>
    <x v="1"/>
    <n v="3"/>
    <s v="Dr. Rao"/>
    <n v="8688"/>
    <x v="2"/>
    <x v="1"/>
    <x v="0"/>
    <d v="2024-03-06T00:00:00"/>
    <d v="2024-03-06T09:00:00"/>
    <s v="Ultrasound"/>
    <s v="Accepted"/>
    <s v="Afternoon"/>
    <n v="11"/>
    <n v="8"/>
    <s v="Plan C"/>
    <x v="21"/>
  </r>
  <r>
    <x v="376"/>
    <x v="1"/>
    <x v="2"/>
    <x v="211"/>
    <d v="2023-02-05T00:00:00"/>
    <x v="3"/>
    <x v="0"/>
    <n v="5"/>
    <s v="Dr. Gupta"/>
    <n v="12689"/>
    <x v="0"/>
    <x v="1"/>
    <x v="1"/>
    <d v="2023-04-26T00:00:00"/>
    <d v="2023-04-27T13:00:00"/>
    <s v="Ultrasound"/>
    <s v="Accepted"/>
    <s v="Night"/>
    <n v="10"/>
    <n v="8"/>
    <s v="Plan C"/>
    <x v="0"/>
  </r>
  <r>
    <x v="377"/>
    <x v="74"/>
    <x v="4"/>
    <x v="88"/>
    <d v="2024-06-02T00:00:00"/>
    <x v="1"/>
    <x v="1"/>
    <n v="4"/>
    <s v="Dr. Mehta"/>
    <n v="6379"/>
    <x v="1"/>
    <x v="1"/>
    <x v="1"/>
    <d v="2024-01-28T00:00:00"/>
    <d v="2024-01-29T01:00:00"/>
    <s v="X-Ray"/>
    <s v="Accepted"/>
    <s v="Night"/>
    <n v="8"/>
    <n v="8"/>
    <s v="Plan C"/>
    <x v="10"/>
  </r>
  <r>
    <x v="378"/>
    <x v="73"/>
    <x v="4"/>
    <x v="146"/>
    <d v="2023-07-23T00:00:00"/>
    <x v="9"/>
    <x v="4"/>
    <n v="2"/>
    <s v="Dr. Mehta"/>
    <n v="42011"/>
    <x v="2"/>
    <x v="1"/>
    <x v="0"/>
    <d v="2023-07-13T00:00:00"/>
    <d v="2023-07-14T04:00:00"/>
    <s v="X-Ray"/>
    <s v="Accepted"/>
    <s v="Night"/>
    <n v="6"/>
    <n v="12"/>
    <s v="Plan C"/>
    <x v="11"/>
  </r>
  <r>
    <x v="379"/>
    <x v="6"/>
    <x v="3"/>
    <x v="260"/>
    <d v="2023-09-30T00:00:00"/>
    <x v="11"/>
    <x v="1"/>
    <n v="2"/>
    <s v="Dr. Rao"/>
    <n v="48005"/>
    <x v="2"/>
    <x v="1"/>
    <x v="0"/>
    <d v="2023-09-15T00:00:00"/>
    <d v="2023-09-15T12:00:00"/>
    <s v="Ultrasound"/>
    <s v="Accepted"/>
    <s v="Morning"/>
    <n v="10"/>
    <n v="10"/>
    <s v="Plan B"/>
    <x v="2"/>
  </r>
  <r>
    <x v="380"/>
    <x v="48"/>
    <x v="1"/>
    <x v="220"/>
    <d v="2023-02-19T00:00:00"/>
    <x v="7"/>
    <x v="0"/>
    <n v="1"/>
    <s v="Dr. Sharma"/>
    <n v="32624"/>
    <x v="4"/>
    <x v="0"/>
    <x v="0"/>
    <d v="2023-11-02T00:00:00"/>
    <d v="2023-12-02T08:00:00"/>
    <s v="MRI"/>
    <s v="Accepted"/>
    <s v="Night"/>
    <n v="8"/>
    <n v="10"/>
    <s v="Plan B"/>
    <x v="7"/>
  </r>
  <r>
    <x v="381"/>
    <x v="67"/>
    <x v="2"/>
    <x v="258"/>
    <d v="2024-03-31T00:00:00"/>
    <x v="9"/>
    <x v="5"/>
    <n v="5"/>
    <s v="Dr. Sharma"/>
    <n v="30964"/>
    <x v="1"/>
    <x v="1"/>
    <x v="0"/>
    <d v="2024-03-20T00:00:00"/>
    <d v="2024-03-21T17:00:00"/>
    <s v="CT Scan"/>
    <s v="Accepted"/>
    <s v="Morning"/>
    <n v="5"/>
    <n v="8"/>
    <s v="Plan B"/>
    <x v="16"/>
  </r>
  <r>
    <x v="382"/>
    <x v="28"/>
    <x v="3"/>
    <x v="261"/>
    <d v="2023-11-01T00:00:00"/>
    <x v="9"/>
    <x v="2"/>
    <n v="1"/>
    <s v="Dr. Patel"/>
    <n v="27891"/>
    <x v="2"/>
    <x v="1"/>
    <x v="0"/>
    <d v="2022-12-29T00:00:00"/>
    <d v="2022-12-30T11:00:00"/>
    <s v="Ultrasound"/>
    <s v="Accepted"/>
    <s v="Afternoon"/>
    <n v="8"/>
    <n v="8"/>
    <s v="Plan A"/>
    <x v="7"/>
  </r>
  <r>
    <x v="383"/>
    <x v="86"/>
    <x v="3"/>
    <x v="262"/>
    <d v="2024-06-30T00:00:00"/>
    <x v="13"/>
    <x v="0"/>
    <n v="2"/>
    <s v="Dr. Rao"/>
    <n v="43379"/>
    <x v="2"/>
    <x v="0"/>
    <x v="1"/>
    <d v="2024-06-14T00:00:00"/>
    <d v="2024-06-15T21:00:00"/>
    <s v="Blood Test"/>
    <s v="Rejected"/>
    <s v="Night"/>
    <n v="7"/>
    <n v="8"/>
    <s v="Plan A"/>
    <x v="17"/>
  </r>
  <r>
    <x v="384"/>
    <x v="20"/>
    <x v="0"/>
    <x v="263"/>
    <d v="2023-01-08T00:00:00"/>
    <x v="0"/>
    <x v="3"/>
    <n v="2"/>
    <s v="Dr. Patel"/>
    <n v="17516"/>
    <x v="1"/>
    <x v="0"/>
    <x v="0"/>
    <d v="2023-07-16T00:00:00"/>
    <d v="2023-07-17T18:00:00"/>
    <s v="Ultrasound"/>
    <s v="Accepted"/>
    <s v="Morning"/>
    <n v="4"/>
    <n v="10"/>
    <s v="Plan B"/>
    <x v="11"/>
  </r>
  <r>
    <x v="385"/>
    <x v="48"/>
    <x v="4"/>
    <x v="264"/>
    <d v="2024-01-21T00:00:00"/>
    <x v="14"/>
    <x v="4"/>
    <n v="5"/>
    <s v="Dr. Rao"/>
    <n v="18886"/>
    <x v="0"/>
    <x v="1"/>
    <x v="0"/>
    <d v="2024-03-01T00:00:00"/>
    <d v="2024-03-01T12:00:00"/>
    <s v="X-Ray"/>
    <s v="Accepted"/>
    <s v="Night"/>
    <n v="7"/>
    <n v="10"/>
    <s v="Plan A"/>
    <x v="6"/>
  </r>
  <r>
    <x v="386"/>
    <x v="26"/>
    <x v="1"/>
    <x v="148"/>
    <d v="2024-03-23T00:00:00"/>
    <x v="10"/>
    <x v="5"/>
    <n v="4"/>
    <s v="Dr. Gupta"/>
    <n v="25307"/>
    <x v="1"/>
    <x v="1"/>
    <x v="0"/>
    <d v="2024-12-03T00:00:00"/>
    <d v="2024-03-13T12:00:00"/>
    <s v="CT Scan"/>
    <s v="Accepted"/>
    <s v="Night"/>
    <n v="11"/>
    <n v="8"/>
    <s v="Plan A"/>
    <x v="16"/>
  </r>
  <r>
    <x v="387"/>
    <x v="11"/>
    <x v="2"/>
    <x v="41"/>
    <d v="2023-03-15T00:00:00"/>
    <x v="2"/>
    <x v="3"/>
    <n v="4"/>
    <s v="Dr. Mehta"/>
    <n v="29843"/>
    <x v="1"/>
    <x v="0"/>
    <x v="0"/>
    <d v="2023-08-03T00:00:00"/>
    <d v="2023-08-03T11:00:00"/>
    <s v="Blood Test"/>
    <s v="Accepted"/>
    <s v="Afternoon"/>
    <n v="10"/>
    <n v="12"/>
    <s v="Plan C"/>
    <x v="5"/>
  </r>
  <r>
    <x v="388"/>
    <x v="20"/>
    <x v="3"/>
    <x v="137"/>
    <d v="2023-12-12T00:00:00"/>
    <x v="1"/>
    <x v="3"/>
    <n v="5"/>
    <s v="Dr. Gupta"/>
    <n v="10912"/>
    <x v="0"/>
    <x v="1"/>
    <x v="1"/>
    <d v="2023-11-30T00:00:00"/>
    <d v="2023-01-12T08:00:00"/>
    <s v="CT Scan"/>
    <s v="Accepted"/>
    <s v="Night"/>
    <n v="10"/>
    <n v="10"/>
    <s v="Plan C"/>
    <x v="4"/>
  </r>
  <r>
    <x v="389"/>
    <x v="20"/>
    <x v="2"/>
    <x v="179"/>
    <d v="2023-02-12T00:00:00"/>
    <x v="13"/>
    <x v="4"/>
    <n v="5"/>
    <s v="Dr. Rao"/>
    <n v="26514"/>
    <x v="1"/>
    <x v="1"/>
    <x v="0"/>
    <d v="2023-11-16T00:00:00"/>
    <d v="2023-11-16T19:00:00"/>
    <s v="CT Scan"/>
    <s v="Accepted"/>
    <s v="Afternoon"/>
    <n v="9"/>
    <n v="10"/>
    <s v="Plan A"/>
    <x v="14"/>
  </r>
  <r>
    <x v="390"/>
    <x v="67"/>
    <x v="0"/>
    <x v="35"/>
    <d v="2023-05-20T00:00:00"/>
    <x v="11"/>
    <x v="5"/>
    <n v="1"/>
    <s v="Dr. Mehta"/>
    <n v="26823"/>
    <x v="2"/>
    <x v="1"/>
    <x v="0"/>
    <d v="2023-04-05T00:00:00"/>
    <d v="2023-04-05T09:00:00"/>
    <s v="Blood Test"/>
    <s v="Accepted"/>
    <s v="Night"/>
    <n v="7"/>
    <n v="8"/>
    <s v="Plan A"/>
    <x v="3"/>
  </r>
  <r>
    <x v="391"/>
    <x v="22"/>
    <x v="1"/>
    <x v="196"/>
    <d v="2023-05-11T00:00:00"/>
    <x v="4"/>
    <x v="3"/>
    <n v="5"/>
    <s v="Dr. Sharma"/>
    <n v="33797"/>
    <x v="1"/>
    <x v="1"/>
    <x v="0"/>
    <d v="2023-01-11T00:00:00"/>
    <d v="2023-01-11T12:00:00"/>
    <s v="Ultrasound"/>
    <s v="Accepted"/>
    <s v="Night"/>
    <n v="6"/>
    <n v="12"/>
    <s v="Plan B"/>
    <x v="0"/>
  </r>
  <r>
    <x v="392"/>
    <x v="0"/>
    <x v="3"/>
    <x v="99"/>
    <d v="2024-10-06T00:00:00"/>
    <x v="1"/>
    <x v="3"/>
    <n v="4"/>
    <s v="Dr. Sharma"/>
    <n v="11449"/>
    <x v="0"/>
    <x v="1"/>
    <x v="0"/>
    <d v="2024-02-06T00:00:00"/>
    <d v="2024-02-06T21:00:00"/>
    <s v="Ultrasound"/>
    <s v="Accepted"/>
    <s v="Night"/>
    <n v="11"/>
    <n v="8"/>
    <s v="Plan A"/>
    <x v="16"/>
  </r>
  <r>
    <x v="393"/>
    <x v="24"/>
    <x v="2"/>
    <x v="265"/>
    <d v="2023-11-14T00:00:00"/>
    <x v="4"/>
    <x v="5"/>
    <n v="5"/>
    <s v="Dr. Patel"/>
    <n v="6725"/>
    <x v="3"/>
    <x v="0"/>
    <x v="0"/>
    <d v="2023-12-11T00:00:00"/>
    <d v="2023-11-13T05:00:00"/>
    <s v="Ultrasound"/>
    <s v="Accepted"/>
    <s v="Night"/>
    <n v="5"/>
    <n v="8"/>
    <s v="Plan C"/>
    <x v="14"/>
  </r>
  <r>
    <x v="394"/>
    <x v="76"/>
    <x v="4"/>
    <x v="266"/>
    <d v="2024-02-03T00:00:00"/>
    <x v="6"/>
    <x v="1"/>
    <n v="1"/>
    <s v="Dr. Rao"/>
    <n v="20870"/>
    <x v="1"/>
    <x v="1"/>
    <x v="0"/>
    <d v="2024-02-21T00:00:00"/>
    <d v="2024-02-22T16:00:00"/>
    <s v="MRI"/>
    <s v="Accepted"/>
    <s v="Night"/>
    <n v="11"/>
    <n v="12"/>
    <s v="Plan A"/>
    <x v="19"/>
  </r>
  <r>
    <x v="395"/>
    <x v="1"/>
    <x v="0"/>
    <x v="267"/>
    <d v="2023-12-16T00:00:00"/>
    <x v="8"/>
    <x v="3"/>
    <n v="1"/>
    <s v="Dr. Rao"/>
    <n v="14304"/>
    <x v="4"/>
    <x v="1"/>
    <x v="0"/>
    <d v="2023-11-27T00:00:00"/>
    <d v="2023-11-27T04:00:00"/>
    <s v="Ultrasound"/>
    <s v="Accepted"/>
    <s v="Night"/>
    <n v="9"/>
    <n v="12"/>
    <s v="Plan B"/>
    <x v="1"/>
  </r>
  <r>
    <x v="396"/>
    <x v="47"/>
    <x v="1"/>
    <x v="155"/>
    <d v="2024-02-19T00:00:00"/>
    <x v="2"/>
    <x v="2"/>
    <n v="1"/>
    <s v="Dr. Sharma"/>
    <n v="12522"/>
    <x v="2"/>
    <x v="1"/>
    <x v="0"/>
    <d v="2024-02-15T00:00:00"/>
    <d v="2024-02-15T23:00:00"/>
    <s v="Blood Test"/>
    <s v="Accepted"/>
    <s v="Afternoon"/>
    <n v="9"/>
    <n v="12"/>
    <s v="Plan C"/>
    <x v="19"/>
  </r>
  <r>
    <x v="397"/>
    <x v="17"/>
    <x v="0"/>
    <x v="268"/>
    <d v="2023-11-13T00:00:00"/>
    <x v="13"/>
    <x v="5"/>
    <n v="1"/>
    <s v="Dr. Gupta"/>
    <n v="18663"/>
    <x v="2"/>
    <x v="1"/>
    <x v="1"/>
    <d v="2023-10-29T00:00:00"/>
    <d v="2023-10-29T01:00:00"/>
    <s v="MRI"/>
    <s v="Rejected"/>
    <s v="Afternoon"/>
    <n v="9"/>
    <n v="10"/>
    <s v="Plan C"/>
    <x v="15"/>
  </r>
  <r>
    <x v="398"/>
    <x v="40"/>
    <x v="4"/>
    <x v="230"/>
    <d v="2023-05-17T00:00:00"/>
    <x v="10"/>
    <x v="3"/>
    <n v="3"/>
    <s v="Dr. Mehta"/>
    <n v="9784"/>
    <x v="4"/>
    <x v="0"/>
    <x v="1"/>
    <d v="2023-09-05T00:00:00"/>
    <d v="2023-10-05T08:00:00"/>
    <s v="Ultrasound"/>
    <s v="Accepted"/>
    <s v="Morning"/>
    <n v="10"/>
    <n v="8"/>
    <s v="Plan C"/>
    <x v="14"/>
  </r>
  <r>
    <x v="399"/>
    <x v="12"/>
    <x v="1"/>
    <x v="40"/>
    <d v="2023-07-26T00:00:00"/>
    <x v="12"/>
    <x v="4"/>
    <n v="5"/>
    <s v="Dr. Gupta"/>
    <n v="14472"/>
    <x v="4"/>
    <x v="1"/>
    <x v="0"/>
    <d v="2023-07-14T00:00:00"/>
    <d v="2023-07-14T09:00:00"/>
    <s v="MRI"/>
    <s v="Accepted"/>
    <s v="Night"/>
    <n v="4"/>
    <n v="10"/>
    <s v="Plan C"/>
    <x v="11"/>
  </r>
  <r>
    <x v="400"/>
    <x v="17"/>
    <x v="0"/>
    <x v="269"/>
    <d v="2024-03-13T00:00:00"/>
    <x v="1"/>
    <x v="0"/>
    <n v="2"/>
    <s v="Dr. Gupta"/>
    <n v="33952"/>
    <x v="1"/>
    <x v="0"/>
    <x v="1"/>
    <d v="2024-01-03T00:00:00"/>
    <d v="2024-01-03T13:00:00"/>
    <s v="Blood Test"/>
    <s v="Accepted"/>
    <s v="Afternoon"/>
    <n v="8"/>
    <n v="12"/>
    <s v="Plan A"/>
    <x v="17"/>
  </r>
  <r>
    <x v="401"/>
    <x v="62"/>
    <x v="5"/>
    <x v="58"/>
    <d v="2024-03-02T00:00:00"/>
    <x v="12"/>
    <x v="2"/>
    <n v="5"/>
    <s v="Dr. Sharma"/>
    <n v="15055"/>
    <x v="4"/>
    <x v="1"/>
    <x v="1"/>
    <d v="2024-01-23T00:00:00"/>
    <d v="2024-01-24T01:00:00"/>
    <s v="Ultrasound"/>
    <s v="Accepted"/>
    <s v="Night"/>
    <n v="6"/>
    <n v="10"/>
    <s v="Plan B"/>
    <x v="10"/>
  </r>
  <r>
    <x v="402"/>
    <x v="79"/>
    <x v="4"/>
    <x v="270"/>
    <d v="2023-05-07T00:00:00"/>
    <x v="1"/>
    <x v="0"/>
    <n v="3"/>
    <s v="Dr. Sharma"/>
    <n v="34508"/>
    <x v="3"/>
    <x v="1"/>
    <x v="0"/>
    <d v="2023-06-23T00:00:00"/>
    <d v="2023-06-24T12:00:00"/>
    <s v="X-Ray"/>
    <s v="Accepted"/>
    <s v="Night"/>
    <n v="11"/>
    <n v="12"/>
    <s v="Plan A"/>
    <x v="8"/>
  </r>
  <r>
    <x v="403"/>
    <x v="46"/>
    <x v="4"/>
    <x v="271"/>
    <d v="2023-11-17T00:00:00"/>
    <x v="11"/>
    <x v="0"/>
    <n v="1"/>
    <s v="Dr. Sharma"/>
    <n v="17676"/>
    <x v="0"/>
    <x v="0"/>
    <x v="0"/>
    <d v="2023-10-31T00:00:00"/>
    <d v="2023-01-11T09:00:00"/>
    <s v="Blood Test"/>
    <s v="Accepted"/>
    <s v="Afternoon"/>
    <n v="10"/>
    <n v="12"/>
    <s v="Plan A"/>
    <x v="4"/>
  </r>
  <r>
    <x v="404"/>
    <x v="27"/>
    <x v="4"/>
    <x v="272"/>
    <d v="2024-02-03T00:00:00"/>
    <x v="0"/>
    <x v="3"/>
    <n v="3"/>
    <s v="Dr. Patel"/>
    <n v="30192"/>
    <x v="4"/>
    <x v="1"/>
    <x v="0"/>
    <d v="2024-02-17T00:00:00"/>
    <d v="2024-02-18T18:00:00"/>
    <s v="CT Scan"/>
    <s v="Accepted"/>
    <s v="Night"/>
    <n v="11"/>
    <n v="8"/>
    <s v="Plan C"/>
    <x v="19"/>
  </r>
  <r>
    <x v="405"/>
    <x v="29"/>
    <x v="5"/>
    <x v="104"/>
    <d v="2023-08-01T00:00:00"/>
    <x v="1"/>
    <x v="2"/>
    <n v="4"/>
    <s v="Dr. Gupta"/>
    <n v="29722"/>
    <x v="4"/>
    <x v="1"/>
    <x v="1"/>
    <d v="2022-12-30T00:00:00"/>
    <d v="2022-12-31T08:00:00"/>
    <s v="CT Scan"/>
    <s v="Accepted"/>
    <s v="Afternoon"/>
    <n v="5"/>
    <n v="8"/>
    <s v="Plan B"/>
    <x v="1"/>
  </r>
  <r>
    <x v="406"/>
    <x v="52"/>
    <x v="5"/>
    <x v="273"/>
    <d v="2023-11-13T00:00:00"/>
    <x v="5"/>
    <x v="2"/>
    <n v="4"/>
    <s v="Dr. Rao"/>
    <n v="12446"/>
    <x v="3"/>
    <x v="0"/>
    <x v="1"/>
    <d v="2023-05-11T00:00:00"/>
    <d v="2023-06-11T03:00:00"/>
    <s v="Blood Test"/>
    <s v="Accepted"/>
    <s v="Afternoon"/>
    <n v="10"/>
    <n v="8"/>
    <s v="Plan C"/>
    <x v="3"/>
  </r>
  <r>
    <x v="407"/>
    <x v="0"/>
    <x v="2"/>
    <x v="274"/>
    <d v="2023-10-23T00:00:00"/>
    <x v="2"/>
    <x v="1"/>
    <n v="5"/>
    <s v="Dr. Mehta"/>
    <n v="9725"/>
    <x v="2"/>
    <x v="1"/>
    <x v="1"/>
    <d v="2023-10-19T00:00:00"/>
    <d v="2023-10-20T20:00:00"/>
    <s v="CT Scan"/>
    <s v="Accepted"/>
    <s v="Morning"/>
    <n v="4"/>
    <n v="10"/>
    <s v="Plan A"/>
    <x v="15"/>
  </r>
  <r>
    <x v="408"/>
    <x v="82"/>
    <x v="3"/>
    <x v="215"/>
    <d v="2023-11-08T00:00:00"/>
    <x v="1"/>
    <x v="0"/>
    <n v="5"/>
    <s v="Dr. Patel"/>
    <n v="25061"/>
    <x v="2"/>
    <x v="0"/>
    <x v="0"/>
    <d v="2023-07-31T00:00:00"/>
    <d v="2023-01-08T08:00:00"/>
    <s v="Blood Test"/>
    <s v="Accepted"/>
    <s v="Morning"/>
    <n v="11"/>
    <n v="8"/>
    <s v="Plan A"/>
    <x v="0"/>
  </r>
  <r>
    <x v="409"/>
    <x v="72"/>
    <x v="0"/>
    <x v="229"/>
    <d v="2024-03-17T00:00:00"/>
    <x v="4"/>
    <x v="2"/>
    <n v="2"/>
    <s v="Dr. Rao"/>
    <n v="27671"/>
    <x v="1"/>
    <x v="0"/>
    <x v="0"/>
    <d v="2024-11-03T00:00:00"/>
    <d v="2024-12-03T03:00:00"/>
    <s v="X-Ray"/>
    <s v="Accepted"/>
    <s v="Morning"/>
    <n v="10"/>
    <n v="12"/>
    <s v="Plan C"/>
    <x v="16"/>
  </r>
  <r>
    <x v="410"/>
    <x v="14"/>
    <x v="2"/>
    <x v="275"/>
    <d v="2023-02-12T00:00:00"/>
    <x v="10"/>
    <x v="1"/>
    <n v="2"/>
    <s v="Dr. Gupta"/>
    <n v="6409"/>
    <x v="3"/>
    <x v="1"/>
    <x v="0"/>
    <d v="2023-11-24T00:00:00"/>
    <d v="2023-11-25T22:00:00"/>
    <s v="Blood Test"/>
    <s v="Accepted"/>
    <s v="Morning"/>
    <n v="10"/>
    <n v="8"/>
    <s v="Plan A"/>
    <x v="14"/>
  </r>
  <r>
    <x v="411"/>
    <x v="78"/>
    <x v="0"/>
    <x v="276"/>
    <d v="2024-04-24T00:00:00"/>
    <x v="3"/>
    <x v="5"/>
    <n v="4"/>
    <s v="Dr. Sharma"/>
    <n v="13205"/>
    <x v="0"/>
    <x v="1"/>
    <x v="1"/>
    <d v="2024-04-19T00:00:00"/>
    <d v="2024-04-20T05:00:00"/>
    <s v="Ultrasound"/>
    <s v="Accepted"/>
    <s v="Night"/>
    <n v="7"/>
    <n v="10"/>
    <s v="Plan A"/>
    <x v="13"/>
  </r>
  <r>
    <x v="412"/>
    <x v="80"/>
    <x v="3"/>
    <x v="224"/>
    <d v="2024-10-04T00:00:00"/>
    <x v="14"/>
    <x v="1"/>
    <n v="1"/>
    <s v="Dr. Gupta"/>
    <n v="21365"/>
    <x v="0"/>
    <x v="1"/>
    <x v="0"/>
    <d v="2024-03-28T00:00:00"/>
    <d v="2024-03-29T08:00:00"/>
    <s v="Ultrasound"/>
    <s v="Accepted"/>
    <s v="Night"/>
    <n v="5"/>
    <n v="8"/>
    <s v="Plan C"/>
    <x v="16"/>
  </r>
  <r>
    <x v="413"/>
    <x v="48"/>
    <x v="5"/>
    <x v="224"/>
    <d v="2024-07-04T00:00:00"/>
    <x v="12"/>
    <x v="4"/>
    <n v="3"/>
    <s v="Dr. Mehta"/>
    <n v="5256"/>
    <x v="3"/>
    <x v="1"/>
    <x v="0"/>
    <d v="2024-03-24T00:00:00"/>
    <d v="2024-03-24T11:00:00"/>
    <s v="MRI"/>
    <s v="Accepted"/>
    <s v="Morning"/>
    <n v="9"/>
    <n v="8"/>
    <s v="Plan A"/>
    <x v="16"/>
  </r>
  <r>
    <x v="414"/>
    <x v="78"/>
    <x v="3"/>
    <x v="169"/>
    <d v="2023-08-15T00:00:00"/>
    <x v="6"/>
    <x v="3"/>
    <n v="2"/>
    <s v="Dr. Patel"/>
    <n v="20704"/>
    <x v="0"/>
    <x v="0"/>
    <x v="0"/>
    <d v="2023-02-08T00:00:00"/>
    <d v="2023-02-08T06:00:00"/>
    <s v="CT Scan"/>
    <s v="Accepted"/>
    <s v="Afternoon"/>
    <n v="5"/>
    <n v="8"/>
    <s v="Plan B"/>
    <x v="11"/>
  </r>
  <r>
    <x v="415"/>
    <x v="20"/>
    <x v="5"/>
    <x v="259"/>
    <d v="2024-06-21T00:00:00"/>
    <x v="13"/>
    <x v="5"/>
    <n v="2"/>
    <s v="Dr. Patel"/>
    <n v="34902"/>
    <x v="2"/>
    <x v="0"/>
    <x v="0"/>
    <d v="2024-03-06T00:00:00"/>
    <d v="2024-04-06T13:00:00"/>
    <s v="CT Scan"/>
    <s v="Accepted"/>
    <s v="Afternoon"/>
    <n v="5"/>
    <n v="10"/>
    <s v="Plan C"/>
    <x v="21"/>
  </r>
  <r>
    <x v="416"/>
    <x v="29"/>
    <x v="3"/>
    <x v="143"/>
    <d v="2024-11-05T00:00:00"/>
    <x v="11"/>
    <x v="5"/>
    <n v="1"/>
    <s v="Dr. Mehta"/>
    <n v="40758"/>
    <x v="0"/>
    <x v="1"/>
    <x v="0"/>
    <d v="2024-04-26T00:00:00"/>
    <d v="2024-04-26T02:00:00"/>
    <s v="Blood Test"/>
    <s v="Accepted"/>
    <s v="Afternoon"/>
    <n v="7"/>
    <n v="12"/>
    <s v="Plan B"/>
    <x v="13"/>
  </r>
  <r>
    <x v="417"/>
    <x v="26"/>
    <x v="2"/>
    <x v="277"/>
    <d v="2023-08-07T00:00:00"/>
    <x v="8"/>
    <x v="4"/>
    <n v="1"/>
    <s v="Dr. Rao"/>
    <n v="6195"/>
    <x v="0"/>
    <x v="1"/>
    <x v="1"/>
    <d v="2023-06-20T00:00:00"/>
    <d v="2023-06-20T15:00:00"/>
    <s v="CT Scan"/>
    <s v="Accepted"/>
    <s v="Afternoon"/>
    <n v="8"/>
    <n v="12"/>
    <s v="Plan A"/>
    <x v="8"/>
  </r>
  <r>
    <x v="418"/>
    <x v="65"/>
    <x v="1"/>
    <x v="278"/>
    <d v="2023-03-04T00:00:00"/>
    <x v="10"/>
    <x v="1"/>
    <n v="5"/>
    <s v="Dr. Rao"/>
    <n v="39012"/>
    <x v="3"/>
    <x v="1"/>
    <x v="1"/>
    <d v="2023-03-26T00:00:00"/>
    <d v="2023-03-26T19:00:00"/>
    <s v="Ultrasound"/>
    <s v="Accepted"/>
    <s v="Night"/>
    <n v="10"/>
    <n v="12"/>
    <s v="Plan A"/>
    <x v="5"/>
  </r>
  <r>
    <x v="419"/>
    <x v="36"/>
    <x v="2"/>
    <x v="279"/>
    <d v="2023-10-20T00:00:00"/>
    <x v="2"/>
    <x v="3"/>
    <n v="3"/>
    <s v="Dr. Patel"/>
    <n v="16415"/>
    <x v="3"/>
    <x v="1"/>
    <x v="0"/>
    <d v="2023-10-17T00:00:00"/>
    <d v="2023-10-17T03:00:00"/>
    <s v="X-Ray"/>
    <s v="Accepted"/>
    <s v="Afternoon"/>
    <n v="6"/>
    <n v="8"/>
    <s v="Plan C"/>
    <x v="15"/>
  </r>
  <r>
    <x v="420"/>
    <x v="64"/>
    <x v="0"/>
    <x v="280"/>
    <d v="2024-06-18T00:00:00"/>
    <x v="1"/>
    <x v="1"/>
    <n v="1"/>
    <s v="Dr. Patel"/>
    <n v="44534"/>
    <x v="0"/>
    <x v="0"/>
    <x v="1"/>
    <d v="2024-09-06T00:00:00"/>
    <d v="2024-09-06T18:00:00"/>
    <s v="Blood Test"/>
    <s v="Accepted"/>
    <s v="Afternoon"/>
    <n v="9"/>
    <n v="8"/>
    <s v="Plan A"/>
    <x v="23"/>
  </r>
  <r>
    <x v="421"/>
    <x v="60"/>
    <x v="2"/>
    <x v="281"/>
    <d v="2023-12-24T00:00:00"/>
    <x v="13"/>
    <x v="2"/>
    <n v="2"/>
    <s v="Dr. Sharma"/>
    <n v="26686"/>
    <x v="4"/>
    <x v="1"/>
    <x v="1"/>
    <d v="2023-10-12T00:00:00"/>
    <d v="2023-10-12T15:00:00"/>
    <s v="CT Scan"/>
    <s v="Accepted"/>
    <s v="Morning"/>
    <n v="11"/>
    <n v="10"/>
    <s v="Plan C"/>
    <x v="15"/>
  </r>
  <r>
    <x v="422"/>
    <x v="20"/>
    <x v="4"/>
    <x v="11"/>
    <d v="2023-08-04T00:00:00"/>
    <x v="2"/>
    <x v="1"/>
    <n v="2"/>
    <s v="Dr. Rao"/>
    <n v="16662"/>
    <x v="3"/>
    <x v="0"/>
    <x v="1"/>
    <d v="2023-04-04T00:00:00"/>
    <d v="2023-05-04T11:00:00"/>
    <s v="Ultrasound"/>
    <s v="Accepted"/>
    <s v="Afternoon"/>
    <n v="8"/>
    <n v="12"/>
    <s v="Plan C"/>
    <x v="8"/>
  </r>
  <r>
    <x v="423"/>
    <x v="60"/>
    <x v="0"/>
    <x v="186"/>
    <d v="2023-02-09T00:00:00"/>
    <x v="7"/>
    <x v="5"/>
    <n v="4"/>
    <s v="Dr. Mehta"/>
    <n v="33743"/>
    <x v="1"/>
    <x v="0"/>
    <x v="1"/>
    <d v="2023-08-24T00:00:00"/>
    <d v="2023-08-24T19:00:00"/>
    <s v="MRI"/>
    <s v="Accepted"/>
    <s v="Night"/>
    <n v="4"/>
    <n v="8"/>
    <s v="Plan C"/>
    <x v="3"/>
  </r>
  <r>
    <x v="424"/>
    <x v="49"/>
    <x v="3"/>
    <x v="282"/>
    <d v="2023-11-21T00:00:00"/>
    <x v="1"/>
    <x v="3"/>
    <n v="1"/>
    <s v="Dr. Rao"/>
    <n v="37161"/>
    <x v="1"/>
    <x v="0"/>
    <x v="0"/>
    <d v="2023-11-14T00:00:00"/>
    <d v="2023-11-14T11:00:00"/>
    <s v="CT Scan"/>
    <s v="Accepted"/>
    <s v="Afternoon"/>
    <n v="10"/>
    <n v="8"/>
    <s v="Plan C"/>
    <x v="14"/>
  </r>
  <r>
    <x v="425"/>
    <x v="51"/>
    <x v="0"/>
    <x v="129"/>
    <d v="2023-08-29T00:00:00"/>
    <x v="12"/>
    <x v="1"/>
    <n v="5"/>
    <s v="Dr. Sharma"/>
    <n v="48081"/>
    <x v="2"/>
    <x v="1"/>
    <x v="0"/>
    <d v="2023-08-17T00:00:00"/>
    <d v="2023-08-18T06:00:00"/>
    <s v="X-Ray"/>
    <s v="Accepted"/>
    <s v="Afternoon"/>
    <n v="9"/>
    <n v="8"/>
    <s v="Plan C"/>
    <x v="3"/>
  </r>
  <r>
    <x v="426"/>
    <x v="21"/>
    <x v="1"/>
    <x v="16"/>
    <d v="2023-07-30T00:00:00"/>
    <x v="1"/>
    <x v="3"/>
    <n v="3"/>
    <s v="Dr. Patel"/>
    <n v="7402"/>
    <x v="0"/>
    <x v="0"/>
    <x v="0"/>
    <d v="2023-07-20T00:00:00"/>
    <d v="2023-07-21T13:00:00"/>
    <s v="X-Ray"/>
    <s v="Accepted"/>
    <s v="Night"/>
    <n v="6"/>
    <n v="10"/>
    <s v="Plan B"/>
    <x v="11"/>
  </r>
  <r>
    <x v="427"/>
    <x v="60"/>
    <x v="5"/>
    <x v="283"/>
    <d v="2023-09-06T00:00:00"/>
    <x v="9"/>
    <x v="3"/>
    <n v="5"/>
    <s v="Dr. Patel"/>
    <n v="18275"/>
    <x v="4"/>
    <x v="1"/>
    <x v="0"/>
    <d v="2023-05-26T00:00:00"/>
    <d v="2023-05-28T00:00:00"/>
    <s v="CT Scan"/>
    <s v="Accepted"/>
    <s v="Morning"/>
    <n v="10"/>
    <n v="12"/>
    <s v="Plan C"/>
    <x v="4"/>
  </r>
  <r>
    <x v="428"/>
    <x v="82"/>
    <x v="3"/>
    <x v="1"/>
    <d v="2023-01-28T00:00:00"/>
    <x v="2"/>
    <x v="2"/>
    <n v="2"/>
    <s v="Dr. Sharma"/>
    <n v="33182"/>
    <x v="2"/>
    <x v="0"/>
    <x v="0"/>
    <d v="2023-01-24T00:00:00"/>
    <d v="2023-01-25T08:00:00"/>
    <s v="CT Scan"/>
    <s v="Accepted"/>
    <s v="Night"/>
    <n v="4"/>
    <n v="10"/>
    <s v="Plan B"/>
    <x v="1"/>
  </r>
  <r>
    <x v="429"/>
    <x v="3"/>
    <x v="0"/>
    <x v="284"/>
    <d v="2023-02-24T00:00:00"/>
    <x v="1"/>
    <x v="2"/>
    <n v="5"/>
    <s v="Dr. Mehta"/>
    <n v="19915"/>
    <x v="0"/>
    <x v="1"/>
    <x v="0"/>
    <d v="2023-12-02T00:00:00"/>
    <d v="2023-02-13T12:00:00"/>
    <s v="Ultrasound"/>
    <s v="Accepted"/>
    <s v="Morning"/>
    <n v="7"/>
    <n v="12"/>
    <s v="Plan A"/>
    <x v="7"/>
  </r>
  <r>
    <x v="430"/>
    <x v="16"/>
    <x v="3"/>
    <x v="3"/>
    <d v="2023-09-22T00:00:00"/>
    <x v="13"/>
    <x v="5"/>
    <n v="2"/>
    <s v="Dr. Patel"/>
    <n v="5909"/>
    <x v="3"/>
    <x v="1"/>
    <x v="0"/>
    <d v="2023-05-09T00:00:00"/>
    <d v="2023-06-09T09:00:00"/>
    <s v="CT Scan"/>
    <s v="Accepted"/>
    <s v="Afternoon"/>
    <n v="8"/>
    <n v="12"/>
    <s v="Plan C"/>
    <x v="3"/>
  </r>
  <r>
    <x v="431"/>
    <x v="48"/>
    <x v="3"/>
    <x v="118"/>
    <d v="2024-06-05T00:00:00"/>
    <x v="5"/>
    <x v="4"/>
    <n v="2"/>
    <s v="Dr. Gupta"/>
    <n v="5372"/>
    <x v="1"/>
    <x v="1"/>
    <x v="0"/>
    <d v="2024-04-30T00:00:00"/>
    <d v="2024-04-30T08:00:00"/>
    <s v="MRI"/>
    <s v="Accepted"/>
    <s v="Morning"/>
    <n v="10"/>
    <n v="8"/>
    <s v="Plan A"/>
    <x v="10"/>
  </r>
  <r>
    <x v="432"/>
    <x v="81"/>
    <x v="3"/>
    <x v="198"/>
    <d v="2023-03-28T00:00:00"/>
    <x v="11"/>
    <x v="3"/>
    <n v="2"/>
    <s v="Dr. Patel"/>
    <n v="27620"/>
    <x v="4"/>
    <x v="1"/>
    <x v="1"/>
    <d v="2023-03-15T00:00:00"/>
    <d v="2023-03-16T13:00:00"/>
    <s v="Ultrasound"/>
    <s v="Rejected"/>
    <s v="Morning"/>
    <n v="9"/>
    <n v="8"/>
    <s v="Plan C"/>
    <x v="5"/>
  </r>
  <r>
    <x v="433"/>
    <x v="11"/>
    <x v="5"/>
    <x v="285"/>
    <d v="2024-04-17T00:00:00"/>
    <x v="10"/>
    <x v="4"/>
    <n v="2"/>
    <s v="Dr. Gupta"/>
    <n v="39112"/>
    <x v="1"/>
    <x v="1"/>
    <x v="0"/>
    <d v="2024-07-04T00:00:00"/>
    <d v="2024-07-04T08:00:00"/>
    <s v="Blood Test"/>
    <s v="Accepted"/>
    <s v="Morning"/>
    <n v="5"/>
    <n v="8"/>
    <s v="Plan B"/>
    <x v="23"/>
  </r>
  <r>
    <x v="434"/>
    <x v="84"/>
    <x v="2"/>
    <x v="286"/>
    <d v="2024-04-03T00:00:00"/>
    <x v="7"/>
    <x v="5"/>
    <n v="2"/>
    <s v="Dr. Sharma"/>
    <n v="13515"/>
    <x v="3"/>
    <x v="0"/>
    <x v="0"/>
    <d v="2024-02-27T00:00:00"/>
    <d v="2024-02-27T18:00:00"/>
    <s v="MRI"/>
    <s v="Accepted"/>
    <s v="Afternoon"/>
    <n v="11"/>
    <n v="8"/>
    <s v="Plan B"/>
    <x v="19"/>
  </r>
  <r>
    <x v="435"/>
    <x v="19"/>
    <x v="3"/>
    <x v="287"/>
    <d v="2023-07-25T00:00:00"/>
    <x v="10"/>
    <x v="3"/>
    <n v="4"/>
    <s v="Dr. Sharma"/>
    <n v="7431"/>
    <x v="0"/>
    <x v="1"/>
    <x v="0"/>
    <d v="2023-07-15T00:00:00"/>
    <d v="2023-07-16T11:00:00"/>
    <s v="Ultrasound"/>
    <s v="Accepted"/>
    <s v="Morning"/>
    <n v="11"/>
    <n v="8"/>
    <s v="Plan B"/>
    <x v="11"/>
  </r>
  <r>
    <x v="436"/>
    <x v="55"/>
    <x v="4"/>
    <x v="288"/>
    <d v="2024-11-02T00:00:00"/>
    <x v="14"/>
    <x v="3"/>
    <n v="5"/>
    <s v="Dr. Patel"/>
    <n v="26054"/>
    <x v="3"/>
    <x v="1"/>
    <x v="0"/>
    <d v="2024-01-24T00:00:00"/>
    <d v="2024-01-25T00:00:00"/>
    <s v="Ultrasound"/>
    <s v="Accepted"/>
    <s v="Morning"/>
    <n v="11"/>
    <n v="12"/>
    <s v="Plan A"/>
    <x v="10"/>
  </r>
  <r>
    <x v="437"/>
    <x v="82"/>
    <x v="1"/>
    <x v="289"/>
    <d v="2024-05-24T00:00:00"/>
    <x v="3"/>
    <x v="0"/>
    <n v="4"/>
    <s v="Dr. Rao"/>
    <n v="37624"/>
    <x v="3"/>
    <x v="1"/>
    <x v="0"/>
    <d v="2024-05-19T00:00:00"/>
    <d v="2024-05-20T11:00:00"/>
    <s v="X-Ray"/>
    <s v="Accepted"/>
    <s v="Afternoon"/>
    <n v="6"/>
    <n v="8"/>
    <s v="Plan C"/>
    <x v="12"/>
  </r>
  <r>
    <x v="438"/>
    <x v="28"/>
    <x v="5"/>
    <x v="253"/>
    <d v="2024-02-16T00:00:00"/>
    <x v="2"/>
    <x v="4"/>
    <n v="4"/>
    <s v="Dr. Gupta"/>
    <n v="15585"/>
    <x v="1"/>
    <x v="1"/>
    <x v="0"/>
    <d v="2024-02-13T00:00:00"/>
    <d v="2024-02-13T03:00:00"/>
    <s v="Ultrasound"/>
    <s v="Accepted"/>
    <s v="Night"/>
    <n v="10"/>
    <n v="8"/>
    <s v="Plan A"/>
    <x v="19"/>
  </r>
  <r>
    <x v="439"/>
    <x v="67"/>
    <x v="0"/>
    <x v="290"/>
    <d v="2023-09-16T00:00:00"/>
    <x v="9"/>
    <x v="1"/>
    <n v="1"/>
    <s v="Dr. Mehta"/>
    <n v="36958"/>
    <x v="4"/>
    <x v="1"/>
    <x v="1"/>
    <d v="2023-07-09T00:00:00"/>
    <d v="2023-08-09T23:00:00"/>
    <s v="MRI"/>
    <s v="Accepted"/>
    <s v="Night"/>
    <n v="11"/>
    <n v="10"/>
    <s v="Plan B"/>
    <x v="11"/>
  </r>
  <r>
    <x v="440"/>
    <x v="75"/>
    <x v="5"/>
    <x v="228"/>
    <d v="2023-12-06T00:00:00"/>
    <x v="0"/>
    <x v="2"/>
    <n v="1"/>
    <s v="Dr. Patel"/>
    <n v="6695"/>
    <x v="3"/>
    <x v="1"/>
    <x v="0"/>
    <d v="2023-05-28T00:00:00"/>
    <d v="2023-05-29T05:00:00"/>
    <s v="CT Scan"/>
    <s v="Accepted"/>
    <s v="Night"/>
    <n v="9"/>
    <n v="10"/>
    <s v="Plan A"/>
    <x v="1"/>
  </r>
  <r>
    <x v="441"/>
    <x v="57"/>
    <x v="0"/>
    <x v="291"/>
    <d v="2023-08-01T00:00:00"/>
    <x v="2"/>
    <x v="1"/>
    <n v="1"/>
    <s v="Dr. Mehta"/>
    <n v="39675"/>
    <x v="1"/>
    <x v="1"/>
    <x v="0"/>
    <d v="2023-01-01T00:00:00"/>
    <d v="2023-02-01T11:00:00"/>
    <s v="MRI"/>
    <s v="Accepted"/>
    <s v="Afternoon"/>
    <n v="5"/>
    <n v="12"/>
    <s v="Plan B"/>
    <x v="8"/>
  </r>
  <r>
    <x v="442"/>
    <x v="42"/>
    <x v="5"/>
    <x v="212"/>
    <d v="2023-04-29T00:00:00"/>
    <x v="9"/>
    <x v="4"/>
    <n v="3"/>
    <s v="Dr. Patel"/>
    <n v="38787"/>
    <x v="4"/>
    <x v="1"/>
    <x v="0"/>
    <d v="2023-04-16T00:00:00"/>
    <d v="2023-04-16T14:00:00"/>
    <s v="Blood Test"/>
    <s v="Accepted"/>
    <s v="Afternoon"/>
    <n v="9"/>
    <n v="12"/>
    <s v="Plan B"/>
    <x v="0"/>
  </r>
  <r>
    <x v="443"/>
    <x v="81"/>
    <x v="0"/>
    <x v="292"/>
    <d v="2024-03-20T00:00:00"/>
    <x v="9"/>
    <x v="2"/>
    <n v="1"/>
    <s v="Dr. Rao"/>
    <n v="49225"/>
    <x v="0"/>
    <x v="0"/>
    <x v="1"/>
    <d v="2024-10-03T00:00:00"/>
    <d v="2024-11-03T04:00:00"/>
    <s v="Ultrasound"/>
    <s v="Accepted"/>
    <s v="Night"/>
    <n v="10"/>
    <n v="10"/>
    <s v="Plan B"/>
    <x v="23"/>
  </r>
  <r>
    <x v="444"/>
    <x v="27"/>
    <x v="3"/>
    <x v="60"/>
    <d v="2023-08-17T00:00:00"/>
    <x v="7"/>
    <x v="1"/>
    <n v="5"/>
    <s v="Dr. Rao"/>
    <n v="6403"/>
    <x v="0"/>
    <x v="1"/>
    <x v="0"/>
    <d v="2023-12-08T00:00:00"/>
    <d v="2023-12-08T07:00:00"/>
    <s v="Ultrasound"/>
    <s v="Accepted"/>
    <s v="Morning"/>
    <n v="4"/>
    <n v="10"/>
    <s v="Plan C"/>
    <x v="3"/>
  </r>
  <r>
    <x v="445"/>
    <x v="26"/>
    <x v="2"/>
    <x v="293"/>
    <d v="2023-07-15T00:00:00"/>
    <x v="8"/>
    <x v="0"/>
    <n v="4"/>
    <s v="Dr. Rao"/>
    <n v="22810"/>
    <x v="2"/>
    <x v="0"/>
    <x v="0"/>
    <d v="2023-06-30T00:00:00"/>
    <d v="2023-02-07T00:00:00"/>
    <s v="Ultrasound"/>
    <s v="Accepted"/>
    <s v="Night"/>
    <n v="5"/>
    <n v="8"/>
    <s v="Plan C"/>
    <x v="8"/>
  </r>
  <r>
    <x v="446"/>
    <x v="81"/>
    <x v="0"/>
    <x v="294"/>
    <d v="2024-06-27T00:00:00"/>
    <x v="14"/>
    <x v="2"/>
    <n v="5"/>
    <s v="Dr. Rao"/>
    <n v="13855"/>
    <x v="1"/>
    <x v="1"/>
    <x v="1"/>
    <d v="2024-09-06T00:00:00"/>
    <d v="2024-10-06T18:00:00"/>
    <s v="Ultrasound"/>
    <s v="Accepted"/>
    <s v="Afternoon"/>
    <n v="5"/>
    <n v="8"/>
    <s v="Plan B"/>
    <x v="17"/>
  </r>
  <r>
    <x v="447"/>
    <x v="19"/>
    <x v="0"/>
    <x v="295"/>
    <d v="2024-04-26T00:00:00"/>
    <x v="10"/>
    <x v="3"/>
    <n v="1"/>
    <s v="Dr. Sharma"/>
    <n v="43636"/>
    <x v="4"/>
    <x v="1"/>
    <x v="0"/>
    <d v="2024-04-16T00:00:00"/>
    <d v="2024-04-16T16:00:00"/>
    <s v="X-Ray"/>
    <s v="Accepted"/>
    <s v="Morning"/>
    <n v="9"/>
    <n v="12"/>
    <s v="Plan A"/>
    <x v="13"/>
  </r>
  <r>
    <x v="448"/>
    <x v="82"/>
    <x v="4"/>
    <x v="164"/>
    <d v="2023-02-27T00:00:00"/>
    <x v="10"/>
    <x v="1"/>
    <n v="3"/>
    <s v="Dr. Sharma"/>
    <n v="15839"/>
    <x v="3"/>
    <x v="1"/>
    <x v="1"/>
    <d v="2023-02-20T00:00:00"/>
    <d v="2023-02-20T20:00:00"/>
    <s v="X-Ray"/>
    <s v="Accepted"/>
    <s v="Morning"/>
    <n v="7"/>
    <n v="10"/>
    <s v="Plan A"/>
    <x v="7"/>
  </r>
  <r>
    <x v="449"/>
    <x v="51"/>
    <x v="0"/>
    <x v="161"/>
    <d v="2023-09-25T00:00:00"/>
    <x v="11"/>
    <x v="2"/>
    <n v="3"/>
    <s v="Dr. Gupta"/>
    <n v="5010"/>
    <x v="0"/>
    <x v="1"/>
    <x v="0"/>
    <d v="2023-08-09T00:00:00"/>
    <d v="2023-08-09T03:00:00"/>
    <s v="CT Scan"/>
    <s v="Accepted"/>
    <s v="Afternoon"/>
    <n v="10"/>
    <n v="12"/>
    <s v="Plan C"/>
    <x v="2"/>
  </r>
  <r>
    <x v="450"/>
    <x v="53"/>
    <x v="4"/>
    <x v="296"/>
    <d v="2023-05-19T00:00:00"/>
    <x v="13"/>
    <x v="0"/>
    <n v="4"/>
    <s v="Dr. Mehta"/>
    <n v="44098"/>
    <x v="4"/>
    <x v="0"/>
    <x v="0"/>
    <d v="2023-04-05T00:00:00"/>
    <d v="2023-05-05T05:00:00"/>
    <s v="Ultrasound"/>
    <s v="Accepted"/>
    <s v="Morning"/>
    <n v="11"/>
    <n v="8"/>
    <s v="Plan B"/>
    <x v="4"/>
  </r>
  <r>
    <x v="451"/>
    <x v="32"/>
    <x v="1"/>
    <x v="297"/>
    <d v="2024-04-23T00:00:00"/>
    <x v="0"/>
    <x v="2"/>
    <n v="5"/>
    <s v="Dr. Patel"/>
    <n v="14230"/>
    <x v="1"/>
    <x v="0"/>
    <x v="0"/>
    <d v="2024-12-04T00:00:00"/>
    <d v="2024-12-04T17:00:00"/>
    <s v="Blood Test"/>
    <s v="Accepted"/>
    <s v="Night"/>
    <n v="7"/>
    <n v="12"/>
    <s v="Plan A"/>
    <x v="22"/>
  </r>
  <r>
    <x v="452"/>
    <x v="18"/>
    <x v="3"/>
    <x v="298"/>
    <d v="2023-05-31T00:00:00"/>
    <x v="13"/>
    <x v="2"/>
    <n v="2"/>
    <s v="Dr. Patel"/>
    <n v="45232"/>
    <x v="2"/>
    <x v="1"/>
    <x v="1"/>
    <d v="2023-05-17T00:00:00"/>
    <d v="2023-05-17T23:00:00"/>
    <s v="CT Scan"/>
    <s v="Accepted"/>
    <s v="Afternoon"/>
    <n v="8"/>
    <n v="12"/>
    <s v="Plan B"/>
    <x v="4"/>
  </r>
  <r>
    <x v="453"/>
    <x v="65"/>
    <x v="4"/>
    <x v="295"/>
    <d v="2024-04-23T00:00:00"/>
    <x v="3"/>
    <x v="0"/>
    <n v="5"/>
    <s v="Dr. Sharma"/>
    <n v="40771"/>
    <x v="0"/>
    <x v="1"/>
    <x v="0"/>
    <d v="2024-04-17T00:00:00"/>
    <d v="2024-04-17T06:00:00"/>
    <s v="Ultrasound"/>
    <s v="Accepted"/>
    <s v="Afternoon"/>
    <n v="11"/>
    <n v="12"/>
    <s v="Plan A"/>
    <x v="13"/>
  </r>
  <r>
    <x v="454"/>
    <x v="88"/>
    <x v="2"/>
    <x v="299"/>
    <d v="2023-11-25T00:00:00"/>
    <x v="7"/>
    <x v="1"/>
    <n v="1"/>
    <s v="Dr. Patel"/>
    <n v="34256"/>
    <x v="4"/>
    <x v="1"/>
    <x v="1"/>
    <d v="2023-11-19T00:00:00"/>
    <d v="2023-11-20T05:00:00"/>
    <s v="X-Ray"/>
    <s v="Accepted"/>
    <s v="Afternoon"/>
    <n v="4"/>
    <n v="8"/>
    <s v="Plan C"/>
    <x v="14"/>
  </r>
  <r>
    <x v="455"/>
    <x v="81"/>
    <x v="3"/>
    <x v="163"/>
    <d v="2024-03-31T00:00:00"/>
    <x v="2"/>
    <x v="5"/>
    <n v="2"/>
    <s v="Dr. Sharma"/>
    <n v="30651"/>
    <x v="4"/>
    <x v="1"/>
    <x v="1"/>
    <d v="2024-03-24T00:00:00"/>
    <d v="2024-03-24T08:00:00"/>
    <s v="Blood Test"/>
    <s v="Accepted"/>
    <s v="Afternoon"/>
    <n v="7"/>
    <n v="12"/>
    <s v="Plan B"/>
    <x v="16"/>
  </r>
  <r>
    <x v="456"/>
    <x v="49"/>
    <x v="4"/>
    <x v="300"/>
    <d v="2024-03-06T00:00:00"/>
    <x v="3"/>
    <x v="1"/>
    <n v="3"/>
    <s v="Dr. Gupta"/>
    <n v="37383"/>
    <x v="4"/>
    <x v="1"/>
    <x v="1"/>
    <d v="2024-05-28T00:00:00"/>
    <d v="2024-05-28T16:00:00"/>
    <s v="CT Scan"/>
    <s v="Rejected"/>
    <s v="Morning"/>
    <n v="9"/>
    <n v="8"/>
    <s v="Plan B"/>
    <x v="12"/>
  </r>
  <r>
    <x v="457"/>
    <x v="0"/>
    <x v="3"/>
    <x v="301"/>
    <d v="2024-03-17T00:00:00"/>
    <x v="5"/>
    <x v="4"/>
    <n v="4"/>
    <s v="Dr. Mehta"/>
    <n v="44963"/>
    <x v="1"/>
    <x v="0"/>
    <x v="1"/>
    <d v="2024-12-03T00:00:00"/>
    <d v="2024-12-03T14:00:00"/>
    <s v="Blood Test"/>
    <s v="Accepted"/>
    <s v="Afternoon"/>
    <n v="10"/>
    <n v="10"/>
    <s v="Plan A"/>
    <x v="22"/>
  </r>
  <r>
    <x v="458"/>
    <x v="88"/>
    <x v="3"/>
    <x v="302"/>
    <d v="2024-05-04T00:00:00"/>
    <x v="7"/>
    <x v="0"/>
    <n v="4"/>
    <s v="Dr. Gupta"/>
    <n v="18662"/>
    <x v="1"/>
    <x v="0"/>
    <x v="0"/>
    <d v="2024-03-27T00:00:00"/>
    <d v="2024-03-29T00:00:00"/>
    <s v="Ultrasound"/>
    <s v="Accepted"/>
    <s v="Afternoon"/>
    <n v="7"/>
    <n v="12"/>
    <s v="Plan A"/>
    <x v="10"/>
  </r>
  <r>
    <x v="459"/>
    <x v="78"/>
    <x v="3"/>
    <x v="303"/>
    <d v="2023-06-15T00:00:00"/>
    <x v="3"/>
    <x v="1"/>
    <n v="3"/>
    <s v="Dr. Rao"/>
    <n v="18739"/>
    <x v="1"/>
    <x v="0"/>
    <x v="1"/>
    <d v="2023-11-06T00:00:00"/>
    <d v="2023-12-06T14:00:00"/>
    <s v="MRI"/>
    <s v="Accepted"/>
    <s v="Morning"/>
    <n v="8"/>
    <n v="12"/>
    <s v="Plan A"/>
    <x v="9"/>
  </r>
  <r>
    <x v="460"/>
    <x v="20"/>
    <x v="1"/>
    <x v="118"/>
    <d v="2024-11-05T00:00:00"/>
    <x v="12"/>
    <x v="2"/>
    <n v="1"/>
    <s v="Dr. Rao"/>
    <n v="6789"/>
    <x v="3"/>
    <x v="0"/>
    <x v="0"/>
    <d v="2024-01-05T00:00:00"/>
    <d v="2024-02-05T21:00:00"/>
    <s v="Blood Test"/>
    <s v="Accepted"/>
    <s v="Afternoon"/>
    <n v="6"/>
    <n v="8"/>
    <s v="Plan B"/>
    <x v="10"/>
  </r>
  <r>
    <x v="461"/>
    <x v="60"/>
    <x v="2"/>
    <x v="304"/>
    <d v="2024-08-04T00:00:00"/>
    <x v="3"/>
    <x v="0"/>
    <n v="3"/>
    <s v="Dr. Rao"/>
    <n v="24420"/>
    <x v="4"/>
    <x v="0"/>
    <x v="0"/>
    <d v="2024-01-04T00:00:00"/>
    <d v="2024-01-04T23:00:00"/>
    <s v="Blood Test"/>
    <s v="Accepted"/>
    <s v="Morning"/>
    <n v="8"/>
    <n v="12"/>
    <s v="Plan C"/>
    <x v="12"/>
  </r>
  <r>
    <x v="462"/>
    <x v="81"/>
    <x v="5"/>
    <x v="305"/>
    <d v="2023-06-10T00:00:00"/>
    <x v="14"/>
    <x v="3"/>
    <n v="1"/>
    <s v="Dr. Gupta"/>
    <n v="28761"/>
    <x v="0"/>
    <x v="1"/>
    <x v="0"/>
    <d v="2023-09-22T00:00:00"/>
    <d v="2023-09-23T22:00:00"/>
    <s v="X-Ray"/>
    <s v="Accepted"/>
    <s v="Morning"/>
    <n v="5"/>
    <n v="8"/>
    <s v="Plan C"/>
    <x v="2"/>
  </r>
  <r>
    <x v="463"/>
    <x v="34"/>
    <x v="5"/>
    <x v="128"/>
    <d v="2023-09-24T00:00:00"/>
    <x v="14"/>
    <x v="1"/>
    <n v="2"/>
    <s v="Dr. Patel"/>
    <n v="45366"/>
    <x v="1"/>
    <x v="1"/>
    <x v="0"/>
    <d v="2023-08-09T00:00:00"/>
    <d v="2023-09-09T16:00:00"/>
    <s v="Ultrasound"/>
    <s v="Accepted"/>
    <s v="Afternoon"/>
    <n v="11"/>
    <n v="12"/>
    <s v="Plan A"/>
    <x v="14"/>
  </r>
  <r>
    <x v="464"/>
    <x v="82"/>
    <x v="4"/>
    <x v="219"/>
    <d v="2023-10-22T00:00:00"/>
    <x v="0"/>
    <x v="0"/>
    <n v="3"/>
    <s v="Dr. Mehta"/>
    <n v="42606"/>
    <x v="1"/>
    <x v="1"/>
    <x v="0"/>
    <d v="2023-06-10T00:00:00"/>
    <d v="2023-07-10T17:00:00"/>
    <s v="Blood Test"/>
    <s v="Rejected"/>
    <s v="Night"/>
    <n v="10"/>
    <n v="10"/>
    <s v="Plan C"/>
    <x v="14"/>
  </r>
  <r>
    <x v="465"/>
    <x v="9"/>
    <x v="3"/>
    <x v="306"/>
    <d v="2024-06-19T00:00:00"/>
    <x v="2"/>
    <x v="1"/>
    <n v="1"/>
    <s v="Dr. Rao"/>
    <n v="43640"/>
    <x v="4"/>
    <x v="0"/>
    <x v="0"/>
    <d v="2024-06-14T00:00:00"/>
    <d v="2024-06-15T04:00:00"/>
    <s v="Ultrasound"/>
    <s v="Accepted"/>
    <s v="Afternoon"/>
    <n v="5"/>
    <n v="10"/>
    <s v="Plan A"/>
    <x v="17"/>
  </r>
  <r>
    <x v="466"/>
    <x v="25"/>
    <x v="4"/>
    <x v="307"/>
    <d v="2024-05-14T00:00:00"/>
    <x v="3"/>
    <x v="0"/>
    <n v="2"/>
    <s v="Dr. Rao"/>
    <n v="49135"/>
    <x v="1"/>
    <x v="0"/>
    <x v="1"/>
    <d v="2024-08-05T00:00:00"/>
    <d v="2024-08-05T11:00:00"/>
    <s v="X-Ray"/>
    <s v="Accepted"/>
    <s v="Night"/>
    <n v="7"/>
    <n v="10"/>
    <s v="Plan C"/>
    <x v="23"/>
  </r>
  <r>
    <x v="467"/>
    <x v="13"/>
    <x v="1"/>
    <x v="194"/>
    <d v="2023-09-15T00:00:00"/>
    <x v="14"/>
    <x v="2"/>
    <n v="3"/>
    <s v="Dr. Rao"/>
    <n v="42067"/>
    <x v="3"/>
    <x v="0"/>
    <x v="0"/>
    <d v="2023-08-28T00:00:00"/>
    <d v="2023-08-29T16:00:00"/>
    <s v="Ultrasound"/>
    <s v="Rejected"/>
    <s v="Morning"/>
    <n v="7"/>
    <n v="12"/>
    <s v="Plan B"/>
    <x v="7"/>
  </r>
  <r>
    <x v="468"/>
    <x v="73"/>
    <x v="1"/>
    <x v="2"/>
    <d v="2023-10-20T00:00:00"/>
    <x v="0"/>
    <x v="3"/>
    <n v="4"/>
    <s v="Dr. Mehta"/>
    <n v="22357"/>
    <x v="3"/>
    <x v="0"/>
    <x v="1"/>
    <d v="2023-08-10T00:00:00"/>
    <d v="2023-08-10T09:00:00"/>
    <s v="X-Ray"/>
    <s v="Accepted"/>
    <s v="Night"/>
    <n v="8"/>
    <n v="12"/>
    <s v="Plan A"/>
    <x v="2"/>
  </r>
  <r>
    <x v="469"/>
    <x v="37"/>
    <x v="0"/>
    <x v="308"/>
    <d v="2024-03-04T00:00:00"/>
    <x v="6"/>
    <x v="3"/>
    <n v="3"/>
    <s v="Dr. Rao"/>
    <n v="44851"/>
    <x v="1"/>
    <x v="0"/>
    <x v="1"/>
    <d v="2024-03-24T00:00:00"/>
    <d v="2024-03-24T14:00:00"/>
    <s v="X-Ray"/>
    <s v="Rejected"/>
    <s v="Afternoon"/>
    <n v="8"/>
    <n v="10"/>
    <s v="Plan C"/>
    <x v="16"/>
  </r>
  <r>
    <x v="470"/>
    <x v="9"/>
    <x v="1"/>
    <x v="309"/>
    <d v="2023-03-29T00:00:00"/>
    <x v="6"/>
    <x v="4"/>
    <n v="5"/>
    <s v="Dr. Mehta"/>
    <n v="43262"/>
    <x v="4"/>
    <x v="0"/>
    <x v="1"/>
    <d v="2023-03-19T00:00:00"/>
    <d v="2023-03-19T14:00:00"/>
    <s v="CT Scan"/>
    <s v="Rejected"/>
    <s v="Afternoon"/>
    <n v="9"/>
    <n v="10"/>
    <s v="Plan B"/>
    <x v="5"/>
  </r>
  <r>
    <x v="471"/>
    <x v="64"/>
    <x v="0"/>
    <x v="174"/>
    <d v="2023-02-11T00:00:00"/>
    <x v="14"/>
    <x v="0"/>
    <n v="3"/>
    <s v="Dr. Rao"/>
    <n v="16317"/>
    <x v="4"/>
    <x v="1"/>
    <x v="0"/>
    <d v="2023-10-18T00:00:00"/>
    <d v="2023-10-18T04:00:00"/>
    <s v="Ultrasound"/>
    <s v="Accepted"/>
    <s v="Night"/>
    <n v="4"/>
    <n v="8"/>
    <s v="Plan C"/>
    <x v="15"/>
  </r>
  <r>
    <x v="472"/>
    <x v="45"/>
    <x v="2"/>
    <x v="186"/>
    <d v="2023-08-09T00:00:00"/>
    <x v="12"/>
    <x v="1"/>
    <n v="5"/>
    <s v="Dr. Gupta"/>
    <n v="26534"/>
    <x v="4"/>
    <x v="0"/>
    <x v="1"/>
    <d v="2023-08-24T00:00:00"/>
    <d v="2023-08-25T13:00:00"/>
    <s v="MRI"/>
    <s v="Accepted"/>
    <s v="Afternoon"/>
    <n v="9"/>
    <n v="8"/>
    <s v="Plan B"/>
    <x v="3"/>
  </r>
  <r>
    <x v="473"/>
    <x v="41"/>
    <x v="4"/>
    <x v="213"/>
    <d v="2023-10-19T00:00:00"/>
    <x v="14"/>
    <x v="3"/>
    <n v="2"/>
    <s v="Dr. Gupta"/>
    <n v="30734"/>
    <x v="2"/>
    <x v="1"/>
    <x v="0"/>
    <d v="2023-06-10T00:00:00"/>
    <d v="2023-06-10T23:00:00"/>
    <s v="CT Scan"/>
    <s v="Accepted"/>
    <s v="Night"/>
    <n v="5"/>
    <n v="10"/>
    <s v="Plan B"/>
    <x v="8"/>
  </r>
  <r>
    <x v="474"/>
    <x v="18"/>
    <x v="2"/>
    <x v="281"/>
    <d v="2023-12-20T00:00:00"/>
    <x v="12"/>
    <x v="3"/>
    <n v="3"/>
    <s v="Dr. Mehta"/>
    <n v="40897"/>
    <x v="1"/>
    <x v="1"/>
    <x v="1"/>
    <d v="2023-10-12T00:00:00"/>
    <d v="2023-11-12T11:00:00"/>
    <s v="X-Ray"/>
    <s v="Accepted"/>
    <s v="Morning"/>
    <n v="9"/>
    <n v="10"/>
    <s v="Plan C"/>
    <x v="15"/>
  </r>
  <r>
    <x v="475"/>
    <x v="18"/>
    <x v="1"/>
    <x v="310"/>
    <d v="2023-02-12T00:00:00"/>
    <x v="6"/>
    <x v="5"/>
    <n v="2"/>
    <s v="Dr. Gupta"/>
    <n v="37872"/>
    <x v="4"/>
    <x v="0"/>
    <x v="0"/>
    <d v="2023-11-19T00:00:00"/>
    <d v="2023-11-19T18:00:00"/>
    <s v="MRI"/>
    <s v="Rejected"/>
    <s v="Night"/>
    <n v="8"/>
    <n v="12"/>
    <s v="Plan C"/>
    <x v="14"/>
  </r>
  <r>
    <x v="476"/>
    <x v="3"/>
    <x v="2"/>
    <x v="184"/>
    <d v="2023-04-04T00:00:00"/>
    <x v="0"/>
    <x v="5"/>
    <n v="2"/>
    <s v="Dr. Mehta"/>
    <n v="45201"/>
    <x v="3"/>
    <x v="0"/>
    <x v="1"/>
    <d v="2023-03-20T00:00:00"/>
    <d v="2023-03-21T15:00:00"/>
    <s v="Blood Test"/>
    <s v="Accepted"/>
    <s v="Night"/>
    <n v="10"/>
    <n v="10"/>
    <s v="Plan B"/>
    <x v="5"/>
  </r>
  <r>
    <x v="477"/>
    <x v="28"/>
    <x v="2"/>
    <x v="80"/>
    <d v="2023-06-06T00:00:00"/>
    <x v="8"/>
    <x v="3"/>
    <n v="1"/>
    <s v="Dr. Gupta"/>
    <n v="12689"/>
    <x v="0"/>
    <x v="1"/>
    <x v="1"/>
    <d v="2023-05-21T00:00:00"/>
    <d v="2023-05-22T11:00:00"/>
    <s v="Blood Test"/>
    <s v="Accepted"/>
    <s v="Night"/>
    <n v="9"/>
    <n v="8"/>
    <s v="Plan B"/>
    <x v="4"/>
  </r>
  <r>
    <x v="478"/>
    <x v="71"/>
    <x v="2"/>
    <x v="311"/>
    <d v="2023-06-19T00:00:00"/>
    <x v="8"/>
    <x v="0"/>
    <n v="2"/>
    <s v="Dr. Gupta"/>
    <n v="8567"/>
    <x v="0"/>
    <x v="1"/>
    <x v="0"/>
    <d v="2023-05-31T00:00:00"/>
    <d v="2023-05-31T11:00:00"/>
    <s v="CT Scan"/>
    <s v="Accepted"/>
    <s v="Night"/>
    <n v="6"/>
    <n v="8"/>
    <s v="Plan B"/>
    <x v="0"/>
  </r>
  <r>
    <x v="479"/>
    <x v="64"/>
    <x v="1"/>
    <x v="312"/>
    <d v="2023-04-09T00:00:00"/>
    <x v="12"/>
    <x v="4"/>
    <n v="2"/>
    <s v="Dr. Mehta"/>
    <n v="25732"/>
    <x v="4"/>
    <x v="0"/>
    <x v="1"/>
    <d v="2023-08-20T00:00:00"/>
    <d v="2023-08-20T21:00:00"/>
    <s v="MRI"/>
    <s v="Accepted"/>
    <s v="Morning"/>
    <n v="11"/>
    <n v="8"/>
    <s v="Plan A"/>
    <x v="3"/>
  </r>
  <r>
    <x v="480"/>
    <x v="84"/>
    <x v="3"/>
    <x v="313"/>
    <d v="2024-08-02T00:00:00"/>
    <x v="0"/>
    <x v="3"/>
    <n v="3"/>
    <s v="Dr. Patel"/>
    <n v="25774"/>
    <x v="0"/>
    <x v="1"/>
    <x v="0"/>
    <d v="2024-01-23T00:00:00"/>
    <d v="2024-01-24T22:00:00"/>
    <s v="Ultrasound"/>
    <s v="Accepted"/>
    <s v="Morning"/>
    <n v="4"/>
    <n v="8"/>
    <s v="Plan B"/>
    <x v="10"/>
  </r>
  <r>
    <x v="481"/>
    <x v="59"/>
    <x v="2"/>
    <x v="86"/>
    <d v="2023-06-17T00:00:00"/>
    <x v="0"/>
    <x v="2"/>
    <n v="3"/>
    <s v="Dr. Gupta"/>
    <n v="28195"/>
    <x v="0"/>
    <x v="0"/>
    <x v="0"/>
    <d v="2023-06-06T00:00:00"/>
    <d v="2023-06-06T19:00:00"/>
    <s v="MRI"/>
    <s v="Accepted"/>
    <s v="Morning"/>
    <n v="8"/>
    <n v="8"/>
    <s v="Plan A"/>
    <x v="8"/>
  </r>
  <r>
    <x v="482"/>
    <x v="18"/>
    <x v="0"/>
    <x v="141"/>
    <d v="2023-08-18T00:00:00"/>
    <x v="12"/>
    <x v="1"/>
    <n v="4"/>
    <s v="Dr. Rao"/>
    <n v="42412"/>
    <x v="2"/>
    <x v="1"/>
    <x v="1"/>
    <d v="2023-07-08T00:00:00"/>
    <d v="2023-07-08T19:00:00"/>
    <s v="CT Scan"/>
    <s v="Accepted"/>
    <s v="Night"/>
    <n v="10"/>
    <n v="8"/>
    <s v="Plan B"/>
    <x v="3"/>
  </r>
  <r>
    <x v="483"/>
    <x v="52"/>
    <x v="1"/>
    <x v="87"/>
    <d v="2023-03-13T00:00:00"/>
    <x v="10"/>
    <x v="4"/>
    <n v="1"/>
    <s v="Dr. Patel"/>
    <n v="49098"/>
    <x v="3"/>
    <x v="1"/>
    <x v="0"/>
    <d v="2023-04-03T00:00:00"/>
    <d v="2023-05-03T13:00:00"/>
    <s v="Ultrasound"/>
    <s v="Accepted"/>
    <s v="Morning"/>
    <n v="7"/>
    <n v="10"/>
    <s v="Plan A"/>
    <x v="11"/>
  </r>
  <r>
    <x v="484"/>
    <x v="50"/>
    <x v="2"/>
    <x v="286"/>
    <d v="2024-03-14T00:00:00"/>
    <x v="13"/>
    <x v="2"/>
    <n v="2"/>
    <s v="Dr. Mehta"/>
    <n v="27257"/>
    <x v="3"/>
    <x v="1"/>
    <x v="1"/>
    <d v="2024-02-28T00:00:00"/>
    <d v="2024-02-28T18:00:00"/>
    <s v="Ultrasound"/>
    <s v="Rejected"/>
    <s v="Afternoon"/>
    <n v="11"/>
    <n v="8"/>
    <s v="Plan B"/>
    <x v="19"/>
  </r>
  <r>
    <x v="485"/>
    <x v="71"/>
    <x v="3"/>
    <x v="314"/>
    <d v="2024-04-03T00:00:00"/>
    <x v="0"/>
    <x v="4"/>
    <n v="1"/>
    <s v="Dr. Patel"/>
    <n v="9394"/>
    <x v="2"/>
    <x v="1"/>
    <x v="0"/>
    <d v="2024-02-22T00:00:00"/>
    <d v="2024-02-23T09:00:00"/>
    <s v="Blood Test"/>
    <s v="Accepted"/>
    <s v="Morning"/>
    <n v="9"/>
    <n v="8"/>
    <s v="Plan B"/>
    <x v="19"/>
  </r>
  <r>
    <x v="486"/>
    <x v="39"/>
    <x v="1"/>
    <x v="137"/>
    <d v="2023-11-12T00:00:00"/>
    <x v="10"/>
    <x v="2"/>
    <n v="5"/>
    <s v="Dr. Sharma"/>
    <n v="41302"/>
    <x v="2"/>
    <x v="1"/>
    <x v="1"/>
    <d v="2023-02-12T00:00:00"/>
    <d v="2023-03-12T20:00:00"/>
    <s v="MRI"/>
    <s v="Accepted"/>
    <s v="Night"/>
    <n v="8"/>
    <n v="8"/>
    <s v="Plan B"/>
    <x v="4"/>
  </r>
  <r>
    <x v="487"/>
    <x v="57"/>
    <x v="5"/>
    <x v="315"/>
    <d v="2024-04-25T00:00:00"/>
    <x v="3"/>
    <x v="1"/>
    <n v="2"/>
    <s v="Dr. Sharma"/>
    <n v="27228"/>
    <x v="0"/>
    <x v="0"/>
    <x v="0"/>
    <d v="2024-04-19T00:00:00"/>
    <d v="2024-04-19T07:00:00"/>
    <s v="Ultrasound"/>
    <s v="Accepted"/>
    <s v="Afternoon"/>
    <n v="7"/>
    <n v="8"/>
    <s v="Plan C"/>
    <x v="13"/>
  </r>
  <r>
    <x v="488"/>
    <x v="72"/>
    <x v="3"/>
    <x v="316"/>
    <d v="2024-09-03T00:00:00"/>
    <x v="6"/>
    <x v="1"/>
    <n v="1"/>
    <s v="Dr. Gupta"/>
    <n v="17388"/>
    <x v="1"/>
    <x v="1"/>
    <x v="1"/>
    <d v="2024-02-29T00:00:00"/>
    <d v="2024-02-29T09:00:00"/>
    <s v="CT Scan"/>
    <s v="Accepted"/>
    <s v="Night"/>
    <n v="7"/>
    <n v="10"/>
    <s v="Plan C"/>
    <x v="10"/>
  </r>
  <r>
    <x v="489"/>
    <x v="64"/>
    <x v="0"/>
    <x v="317"/>
    <d v="2023-07-03T00:00:00"/>
    <x v="2"/>
    <x v="5"/>
    <n v="4"/>
    <s v="Dr. Gupta"/>
    <n v="16319"/>
    <x v="0"/>
    <x v="1"/>
    <x v="0"/>
    <d v="2023-02-28T00:00:00"/>
    <d v="2023-01-03T03:00:00"/>
    <s v="Blood Test"/>
    <s v="Accepted"/>
    <s v="Afternoon"/>
    <n v="5"/>
    <n v="12"/>
    <s v="Plan B"/>
    <x v="4"/>
  </r>
  <r>
    <x v="490"/>
    <x v="87"/>
    <x v="2"/>
    <x v="318"/>
    <d v="2023-08-08T00:00:00"/>
    <x v="6"/>
    <x v="0"/>
    <n v="4"/>
    <s v="Dr. Rao"/>
    <n v="11475"/>
    <x v="2"/>
    <x v="1"/>
    <x v="0"/>
    <d v="2023-07-29T00:00:00"/>
    <d v="2023-07-29T04:00:00"/>
    <s v="Ultrasound"/>
    <s v="Rejected"/>
    <s v="Night"/>
    <n v="5"/>
    <n v="12"/>
    <s v="Plan A"/>
    <x v="11"/>
  </r>
  <r>
    <x v="491"/>
    <x v="13"/>
    <x v="5"/>
    <x v="269"/>
    <d v="2024-03-14T00:00:00"/>
    <x v="6"/>
    <x v="2"/>
    <n v="2"/>
    <s v="Dr. Patel"/>
    <n v="36555"/>
    <x v="3"/>
    <x v="1"/>
    <x v="0"/>
    <d v="2024-06-03T00:00:00"/>
    <d v="2024-06-03T18:00:00"/>
    <s v="MRI"/>
    <s v="Accepted"/>
    <s v="Night"/>
    <n v="10"/>
    <n v="12"/>
    <s v="Plan A"/>
    <x v="17"/>
  </r>
  <r>
    <x v="492"/>
    <x v="41"/>
    <x v="5"/>
    <x v="319"/>
    <d v="2024-02-14T00:00:00"/>
    <x v="0"/>
    <x v="5"/>
    <n v="5"/>
    <s v="Dr. Sharma"/>
    <n v="23158"/>
    <x v="0"/>
    <x v="0"/>
    <x v="0"/>
    <d v="2024-03-02T00:00:00"/>
    <d v="2024-04-02T18:00:00"/>
    <s v="Blood Test"/>
    <s v="Accepted"/>
    <s v="Afternoon"/>
    <n v="8"/>
    <n v="12"/>
    <s v="Plan B"/>
    <x v="16"/>
  </r>
  <r>
    <x v="493"/>
    <x v="6"/>
    <x v="1"/>
    <x v="320"/>
    <d v="2023-01-26T00:00:00"/>
    <x v="5"/>
    <x v="2"/>
    <n v="4"/>
    <s v="Dr. Gupta"/>
    <n v="19728"/>
    <x v="1"/>
    <x v="1"/>
    <x v="0"/>
    <d v="2023-01-19T00:00:00"/>
    <d v="2023-01-19T09:00:00"/>
    <s v="MRI"/>
    <s v="Accepted"/>
    <s v="Morning"/>
    <n v="11"/>
    <n v="8"/>
    <s v="Plan C"/>
    <x v="1"/>
  </r>
  <r>
    <x v="494"/>
    <x v="43"/>
    <x v="5"/>
    <x v="28"/>
    <d v="2024-07-02T00:00:00"/>
    <x v="14"/>
    <x v="5"/>
    <n v="4"/>
    <s v="Dr. Patel"/>
    <n v="49774"/>
    <x v="0"/>
    <x v="0"/>
    <x v="0"/>
    <d v="2024-01-21T00:00:00"/>
    <d v="2024-01-22T21:00:00"/>
    <s v="MRI"/>
    <s v="Accepted"/>
    <s v="Afternoon"/>
    <n v="10"/>
    <n v="12"/>
    <s v="Plan A"/>
    <x v="10"/>
  </r>
  <r>
    <x v="495"/>
    <x v="40"/>
    <x v="0"/>
    <x v="181"/>
    <d v="2024-08-05T00:00:00"/>
    <x v="5"/>
    <x v="1"/>
    <n v="5"/>
    <s v="Dr. Gupta"/>
    <n v="34545"/>
    <x v="4"/>
    <x v="1"/>
    <x v="1"/>
    <d v="2024-04-29T00:00:00"/>
    <d v="2024-04-29T09:00:00"/>
    <s v="MRI"/>
    <s v="Accepted"/>
    <s v="Afternoon"/>
    <n v="8"/>
    <n v="12"/>
    <s v="Plan C"/>
    <x v="16"/>
  </r>
  <r>
    <x v="496"/>
    <x v="55"/>
    <x v="0"/>
    <x v="21"/>
    <d v="2023-01-17T00:00:00"/>
    <x v="12"/>
    <x v="4"/>
    <n v="1"/>
    <s v="Dr. Gupta"/>
    <n v="36100"/>
    <x v="0"/>
    <x v="1"/>
    <x v="1"/>
    <d v="2023-07-01T00:00:00"/>
    <d v="2023-07-01T16:00:00"/>
    <s v="Blood Test"/>
    <s v="Accepted"/>
    <s v="Afternoon"/>
    <n v="6"/>
    <n v="10"/>
    <s v="Plan A"/>
    <x v="11"/>
  </r>
  <r>
    <x v="497"/>
    <x v="50"/>
    <x v="4"/>
    <x v="321"/>
    <d v="2023-12-28T00:00:00"/>
    <x v="4"/>
    <x v="5"/>
    <n v="4"/>
    <s v="Dr. Sharma"/>
    <n v="21150"/>
    <x v="2"/>
    <x v="1"/>
    <x v="1"/>
    <d v="2023-12-25T00:00:00"/>
    <d v="2023-12-25T10:00:00"/>
    <s v="Ultrasound"/>
    <s v="Accepted"/>
    <s v="Afternoon"/>
    <n v="4"/>
    <n v="10"/>
    <s v="Plan B"/>
    <x v="9"/>
  </r>
  <r>
    <x v="498"/>
    <x v="49"/>
    <x v="0"/>
    <x v="101"/>
    <d v="2023-08-11T00:00:00"/>
    <x v="10"/>
    <x v="2"/>
    <n v="3"/>
    <s v="Dr. Sharma"/>
    <n v="38214"/>
    <x v="3"/>
    <x v="1"/>
    <x v="0"/>
    <d v="2023-10-31T00:00:00"/>
    <d v="2023-01-11T22:00:00"/>
    <s v="X-Ray"/>
    <s v="Accepted"/>
    <s v="Afternoon"/>
    <n v="4"/>
    <n v="10"/>
    <s v="Plan C"/>
    <x v="7"/>
  </r>
  <r>
    <x v="499"/>
    <x v="30"/>
    <x v="3"/>
    <x v="172"/>
    <d v="2024-02-13T00:00:00"/>
    <x v="9"/>
    <x v="2"/>
    <n v="4"/>
    <s v="Dr. Gupta"/>
    <n v="37876"/>
    <x v="3"/>
    <x v="0"/>
    <x v="0"/>
    <d v="2024-01-02T00:00:00"/>
    <d v="2024-01-02T21:00:00"/>
    <s v="Ultrasound"/>
    <s v="Accepted"/>
    <s v="Night"/>
    <n v="11"/>
    <n v="8"/>
    <s v="Plan A"/>
    <x v="13"/>
  </r>
  <r>
    <x v="500"/>
    <x v="79"/>
    <x v="5"/>
    <x v="17"/>
    <d v="2024-07-03T00:00:00"/>
    <x v="2"/>
    <x v="0"/>
    <n v="1"/>
    <s v="Dr. Mehta"/>
    <n v="8239"/>
    <x v="2"/>
    <x v="1"/>
    <x v="0"/>
    <d v="2024-02-29T00:00:00"/>
    <d v="2024-02-29T16:00:00"/>
    <s v="Blood Test"/>
    <s v="Accepted"/>
    <s v="Night"/>
    <n v="8"/>
    <n v="8"/>
    <s v="Plan B"/>
    <x v="12"/>
  </r>
  <r>
    <x v="501"/>
    <x v="20"/>
    <x v="0"/>
    <x v="18"/>
    <d v="2023-08-19T00:00:00"/>
    <x v="5"/>
    <x v="1"/>
    <n v="1"/>
    <s v="Dr. Gupta"/>
    <n v="43699"/>
    <x v="4"/>
    <x v="0"/>
    <x v="1"/>
    <d v="2023-10-08T00:00:00"/>
    <d v="2023-11-08T20:00:00"/>
    <s v="X-Ray"/>
    <s v="Accepted"/>
    <s v="Morning"/>
    <n v="5"/>
    <n v="8"/>
    <s v="Plan B"/>
    <x v="3"/>
  </r>
  <r>
    <x v="502"/>
    <x v="7"/>
    <x v="1"/>
    <x v="322"/>
    <d v="2024-05-22T00:00:00"/>
    <x v="6"/>
    <x v="2"/>
    <n v="2"/>
    <s v="Dr. Gupta"/>
    <n v="41821"/>
    <x v="2"/>
    <x v="1"/>
    <x v="0"/>
    <d v="2024-10-05T00:00:00"/>
    <d v="2024-11-05T02:00:00"/>
    <s v="X-Ray"/>
    <s v="Accepted"/>
    <s v="Morning"/>
    <n v="11"/>
    <n v="10"/>
    <s v="Plan B"/>
    <x v="12"/>
  </r>
  <r>
    <x v="503"/>
    <x v="57"/>
    <x v="4"/>
    <x v="60"/>
    <d v="2023-08-21T00:00:00"/>
    <x v="6"/>
    <x v="3"/>
    <n v="3"/>
    <s v="Dr. Rao"/>
    <n v="35615"/>
    <x v="0"/>
    <x v="0"/>
    <x v="1"/>
    <d v="2023-10-08T00:00:00"/>
    <d v="2023-11-08T08:00:00"/>
    <s v="X-Ray"/>
    <s v="Rejected"/>
    <s v="Afternoon"/>
    <n v="9"/>
    <n v="12"/>
    <s v="Plan C"/>
    <x v="3"/>
  </r>
  <r>
    <x v="504"/>
    <x v="44"/>
    <x v="5"/>
    <x v="323"/>
    <d v="2023-08-10T00:00:00"/>
    <x v="4"/>
    <x v="4"/>
    <n v="1"/>
    <s v="Dr. Rao"/>
    <n v="18746"/>
    <x v="2"/>
    <x v="0"/>
    <x v="0"/>
    <d v="2023-06-10T00:00:00"/>
    <d v="2023-06-10T10:00:00"/>
    <s v="CT Scan"/>
    <s v="Accepted"/>
    <s v="Morning"/>
    <n v="10"/>
    <n v="10"/>
    <s v="Plan C"/>
    <x v="11"/>
  </r>
  <r>
    <x v="505"/>
    <x v="21"/>
    <x v="4"/>
    <x v="258"/>
    <d v="2024-03-23T00:00:00"/>
    <x v="4"/>
    <x v="5"/>
    <n v="5"/>
    <s v="Dr. Rao"/>
    <n v="25921"/>
    <x v="2"/>
    <x v="1"/>
    <x v="0"/>
    <d v="2024-03-18T00:00:00"/>
    <d v="2024-03-19T13:00:00"/>
    <s v="Blood Test"/>
    <s v="Accepted"/>
    <s v="Morning"/>
    <n v="6"/>
    <n v="8"/>
    <s v="Plan B"/>
    <x v="16"/>
  </r>
  <r>
    <x v="506"/>
    <x v="4"/>
    <x v="5"/>
    <x v="114"/>
    <d v="2024-05-18T00:00:00"/>
    <x v="10"/>
    <x v="0"/>
    <n v="3"/>
    <s v="Dr. Mehta"/>
    <n v="27745"/>
    <x v="4"/>
    <x v="1"/>
    <x v="0"/>
    <d v="2024-09-05T00:00:00"/>
    <d v="2024-10-05T17:00:00"/>
    <s v="CT Scan"/>
    <s v="Rejected"/>
    <s v="Afternoon"/>
    <n v="4"/>
    <n v="10"/>
    <s v="Plan C"/>
    <x v="22"/>
  </r>
  <r>
    <x v="507"/>
    <x v="44"/>
    <x v="1"/>
    <x v="324"/>
    <d v="2023-02-13T00:00:00"/>
    <x v="13"/>
    <x v="4"/>
    <n v="3"/>
    <s v="Dr. Mehta"/>
    <n v="6245"/>
    <x v="0"/>
    <x v="0"/>
    <x v="0"/>
    <d v="2023-01-28T00:00:00"/>
    <d v="2023-01-28T18:00:00"/>
    <s v="X-Ray"/>
    <s v="Accepted"/>
    <s v="Night"/>
    <n v="8"/>
    <n v="12"/>
    <s v="Plan A"/>
    <x v="1"/>
  </r>
  <r>
    <x v="508"/>
    <x v="88"/>
    <x v="4"/>
    <x v="319"/>
    <d v="2024-08-02T00:00:00"/>
    <x v="5"/>
    <x v="1"/>
    <n v="5"/>
    <s v="Dr. Gupta"/>
    <n v="29853"/>
    <x v="1"/>
    <x v="1"/>
    <x v="0"/>
    <d v="2024-02-02T00:00:00"/>
    <d v="2024-03-02T17:00:00"/>
    <s v="CT Scan"/>
    <s v="Accepted"/>
    <s v="Night"/>
    <n v="5"/>
    <n v="8"/>
    <s v="Plan B"/>
    <x v="16"/>
  </r>
  <r>
    <x v="509"/>
    <x v="31"/>
    <x v="2"/>
    <x v="26"/>
    <d v="2023-12-13T00:00:00"/>
    <x v="2"/>
    <x v="0"/>
    <n v="4"/>
    <s v="Dr. Rao"/>
    <n v="32632"/>
    <x v="1"/>
    <x v="1"/>
    <x v="1"/>
    <d v="2023-11-12T00:00:00"/>
    <d v="2023-12-12T03:00:00"/>
    <s v="CT Scan"/>
    <s v="Accepted"/>
    <s v="Morning"/>
    <n v="5"/>
    <n v="12"/>
    <s v="Plan B"/>
    <x v="14"/>
  </r>
  <r>
    <x v="510"/>
    <x v="9"/>
    <x v="3"/>
    <x v="325"/>
    <d v="2024-01-03T00:00:00"/>
    <x v="0"/>
    <x v="5"/>
    <n v="5"/>
    <s v="Dr. Mehta"/>
    <n v="17856"/>
    <x v="3"/>
    <x v="1"/>
    <x v="0"/>
    <d v="2024-02-17T00:00:00"/>
    <d v="2024-02-18T01:00:00"/>
    <s v="Blood Test"/>
    <s v="Accepted"/>
    <s v="Night"/>
    <n v="5"/>
    <n v="12"/>
    <s v="Plan C"/>
    <x v="19"/>
  </r>
  <r>
    <x v="511"/>
    <x v="16"/>
    <x v="3"/>
    <x v="119"/>
    <d v="2023-03-07T00:00:00"/>
    <x v="13"/>
    <x v="5"/>
    <n v="5"/>
    <s v="Dr. Sharma"/>
    <n v="10105"/>
    <x v="2"/>
    <x v="0"/>
    <x v="1"/>
    <d v="2023-06-18T00:00:00"/>
    <d v="2023-06-19T05:00:00"/>
    <s v="MRI"/>
    <s v="Accepted"/>
    <s v="Night"/>
    <n v="10"/>
    <n v="8"/>
    <s v="Plan B"/>
    <x v="8"/>
  </r>
  <r>
    <x v="512"/>
    <x v="22"/>
    <x v="5"/>
    <x v="151"/>
    <d v="2024-07-05T00:00:00"/>
    <x v="13"/>
    <x v="3"/>
    <n v="4"/>
    <s v="Dr. Gupta"/>
    <n v="40690"/>
    <x v="3"/>
    <x v="0"/>
    <x v="0"/>
    <d v="2024-04-18T00:00:00"/>
    <d v="2024-04-18T05:00:00"/>
    <s v="CT Scan"/>
    <s v="Accepted"/>
    <s v="Morning"/>
    <n v="9"/>
    <n v="12"/>
    <s v="Plan A"/>
    <x v="13"/>
  </r>
  <r>
    <x v="513"/>
    <x v="44"/>
    <x v="2"/>
    <x v="230"/>
    <d v="2023-05-13T00:00:00"/>
    <x v="2"/>
    <x v="1"/>
    <n v="4"/>
    <s v="Dr. Patel"/>
    <n v="7513"/>
    <x v="4"/>
    <x v="1"/>
    <x v="0"/>
    <d v="2023-08-05T00:00:00"/>
    <d v="2023-09-05T17:00:00"/>
    <s v="CT Scan"/>
    <s v="Accepted"/>
    <s v="Afternoon"/>
    <n v="7"/>
    <n v="10"/>
    <s v="Plan C"/>
    <x v="14"/>
  </r>
  <r>
    <x v="514"/>
    <x v="54"/>
    <x v="4"/>
    <x v="15"/>
    <d v="2023-07-02T00:00:00"/>
    <x v="12"/>
    <x v="0"/>
    <n v="4"/>
    <s v="Dr. Gupta"/>
    <n v="7801"/>
    <x v="1"/>
    <x v="1"/>
    <x v="1"/>
    <d v="2023-01-23T00:00:00"/>
    <d v="2023-01-23T06:00:00"/>
    <s v="X-Ray"/>
    <s v="Accepted"/>
    <s v="Morning"/>
    <n v="11"/>
    <n v="12"/>
    <s v="Plan C"/>
    <x v="1"/>
  </r>
  <r>
    <x v="515"/>
    <x v="9"/>
    <x v="2"/>
    <x v="326"/>
    <d v="2024-02-18T00:00:00"/>
    <x v="12"/>
    <x v="0"/>
    <n v="4"/>
    <s v="Dr. Patel"/>
    <n v="37345"/>
    <x v="2"/>
    <x v="0"/>
    <x v="1"/>
    <d v="2024-06-02T00:00:00"/>
    <d v="2024-07-02T02:00:00"/>
    <s v="X-Ray"/>
    <s v="Rejected"/>
    <s v="Morning"/>
    <n v="10"/>
    <n v="12"/>
    <s v="Plan B"/>
    <x v="6"/>
  </r>
  <r>
    <x v="516"/>
    <x v="65"/>
    <x v="2"/>
    <x v="15"/>
    <d v="2023-06-02T00:00:00"/>
    <x v="9"/>
    <x v="2"/>
    <n v="4"/>
    <s v="Dr. Rao"/>
    <n v="18895"/>
    <x v="4"/>
    <x v="1"/>
    <x v="0"/>
    <d v="2023-01-23T00:00:00"/>
    <d v="2023-01-24T09:00:00"/>
    <s v="X-Ray"/>
    <s v="Accepted"/>
    <s v="Morning"/>
    <n v="9"/>
    <n v="12"/>
    <s v="Plan B"/>
    <x v="1"/>
  </r>
  <r>
    <x v="517"/>
    <x v="26"/>
    <x v="4"/>
    <x v="327"/>
    <d v="2023-03-04T00:00:00"/>
    <x v="1"/>
    <x v="3"/>
    <n v="5"/>
    <s v="Dr. Patel"/>
    <n v="44749"/>
    <x v="4"/>
    <x v="1"/>
    <x v="0"/>
    <d v="2023-03-26T00:00:00"/>
    <d v="2023-03-28T00:00:00"/>
    <s v="Ultrasound"/>
    <s v="Accepted"/>
    <s v="Afternoon"/>
    <n v="5"/>
    <n v="10"/>
    <s v="Plan B"/>
    <x v="5"/>
  </r>
  <r>
    <x v="518"/>
    <x v="66"/>
    <x v="1"/>
    <x v="78"/>
    <d v="2024-03-22T00:00:00"/>
    <x v="6"/>
    <x v="3"/>
    <n v="2"/>
    <s v="Dr. Rao"/>
    <n v="13221"/>
    <x v="2"/>
    <x v="1"/>
    <x v="0"/>
    <d v="2024-03-14T00:00:00"/>
    <d v="2024-03-14T18:00:00"/>
    <s v="CT Scan"/>
    <s v="Accepted"/>
    <s v="Afternoon"/>
    <n v="8"/>
    <n v="12"/>
    <s v="Plan C"/>
    <x v="16"/>
  </r>
  <r>
    <x v="519"/>
    <x v="64"/>
    <x v="2"/>
    <x v="328"/>
    <d v="2023-05-29T00:00:00"/>
    <x v="12"/>
    <x v="0"/>
    <n v="2"/>
    <s v="Dr. Sharma"/>
    <n v="11038"/>
    <x v="4"/>
    <x v="0"/>
    <x v="1"/>
    <d v="2023-05-14T00:00:00"/>
    <d v="2023-05-15T21:00:00"/>
    <s v="X-Ray"/>
    <s v="Accepted"/>
    <s v="Afternoon"/>
    <n v="11"/>
    <n v="12"/>
    <s v="Plan B"/>
    <x v="4"/>
  </r>
  <r>
    <x v="520"/>
    <x v="29"/>
    <x v="2"/>
    <x v="329"/>
    <d v="2024-04-26T00:00:00"/>
    <x v="9"/>
    <x v="0"/>
    <n v="1"/>
    <s v="Dr. Patel"/>
    <n v="37031"/>
    <x v="2"/>
    <x v="1"/>
    <x v="1"/>
    <d v="2024-04-15T00:00:00"/>
    <d v="2024-04-16T00:00:00"/>
    <s v="Blood Test"/>
    <s v="Accepted"/>
    <s v="Afternoon"/>
    <n v="6"/>
    <n v="10"/>
    <s v="Plan A"/>
    <x v="13"/>
  </r>
  <r>
    <x v="521"/>
    <x v="72"/>
    <x v="1"/>
    <x v="330"/>
    <d v="2023-07-19T00:00:00"/>
    <x v="14"/>
    <x v="4"/>
    <n v="2"/>
    <s v="Dr. Gupta"/>
    <n v="20082"/>
    <x v="2"/>
    <x v="0"/>
    <x v="0"/>
    <d v="2023-04-07T00:00:00"/>
    <d v="2023-05-07T06:00:00"/>
    <s v="Ultrasound"/>
    <s v="Rejected"/>
    <s v="Morning"/>
    <n v="9"/>
    <n v="8"/>
    <s v="Plan B"/>
    <x v="8"/>
  </r>
  <r>
    <x v="522"/>
    <x v="65"/>
    <x v="2"/>
    <x v="164"/>
    <d v="2023-05-03T00:00:00"/>
    <x v="11"/>
    <x v="4"/>
    <n v="2"/>
    <s v="Dr. Rao"/>
    <n v="19648"/>
    <x v="0"/>
    <x v="1"/>
    <x v="0"/>
    <d v="2023-02-17T00:00:00"/>
    <d v="2023-02-18T08:00:00"/>
    <s v="MRI"/>
    <s v="Accepted"/>
    <s v="Night"/>
    <n v="8"/>
    <n v="8"/>
    <s v="Plan B"/>
    <x v="7"/>
  </r>
  <r>
    <x v="523"/>
    <x v="21"/>
    <x v="2"/>
    <x v="331"/>
    <d v="2023-09-10T00:00:00"/>
    <x v="8"/>
    <x v="4"/>
    <n v="5"/>
    <s v="Dr. Gupta"/>
    <n v="5364"/>
    <x v="3"/>
    <x v="0"/>
    <x v="1"/>
    <d v="2023-09-19T00:00:00"/>
    <d v="2023-09-19T21:00:00"/>
    <s v="CT Scan"/>
    <s v="Accepted"/>
    <s v="Morning"/>
    <n v="10"/>
    <n v="8"/>
    <s v="Plan C"/>
    <x v="2"/>
  </r>
  <r>
    <x v="524"/>
    <x v="14"/>
    <x v="2"/>
    <x v="58"/>
    <d v="2024-01-25T00:00:00"/>
    <x v="4"/>
    <x v="3"/>
    <n v="4"/>
    <s v="Dr. Mehta"/>
    <n v="39568"/>
    <x v="4"/>
    <x v="0"/>
    <x v="0"/>
    <d v="2024-01-23T00:00:00"/>
    <d v="2024-01-24T14:00:00"/>
    <s v="CT Scan"/>
    <s v="Accepted"/>
    <s v="Afternoon"/>
    <n v="10"/>
    <n v="12"/>
    <s v="Plan B"/>
    <x v="10"/>
  </r>
  <r>
    <x v="525"/>
    <x v="80"/>
    <x v="3"/>
    <x v="332"/>
    <d v="2023-10-12T00:00:00"/>
    <x v="6"/>
    <x v="2"/>
    <n v="4"/>
    <s v="Dr. Rao"/>
    <n v="19110"/>
    <x v="4"/>
    <x v="1"/>
    <x v="1"/>
    <d v="2023-01-12T00:00:00"/>
    <d v="2023-01-12T01:00:00"/>
    <s v="Blood Test"/>
    <s v="Accepted"/>
    <s v="Night"/>
    <n v="11"/>
    <n v="8"/>
    <s v="Plan C"/>
    <x v="7"/>
  </r>
  <r>
    <x v="526"/>
    <x v="26"/>
    <x v="0"/>
    <x v="68"/>
    <d v="2023-08-20T00:00:00"/>
    <x v="8"/>
    <x v="5"/>
    <n v="5"/>
    <s v="Dr. Patel"/>
    <n v="10958"/>
    <x v="0"/>
    <x v="1"/>
    <x v="0"/>
    <d v="2023-01-08T00:00:00"/>
    <d v="2023-02-08T23:00:00"/>
    <s v="MRI"/>
    <s v="Accepted"/>
    <s v="Morning"/>
    <n v="5"/>
    <n v="10"/>
    <s v="Plan B"/>
    <x v="4"/>
  </r>
  <r>
    <x v="527"/>
    <x v="37"/>
    <x v="1"/>
    <x v="173"/>
    <d v="2024-04-23T00:00:00"/>
    <x v="14"/>
    <x v="4"/>
    <n v="2"/>
    <s v="Dr. Rao"/>
    <n v="14096"/>
    <x v="0"/>
    <x v="1"/>
    <x v="0"/>
    <d v="2024-05-04T00:00:00"/>
    <d v="2024-05-04T06:00:00"/>
    <s v="MRI"/>
    <s v="Accepted"/>
    <s v="Night"/>
    <n v="6"/>
    <n v="12"/>
    <s v="Plan A"/>
    <x v="20"/>
  </r>
  <r>
    <x v="528"/>
    <x v="21"/>
    <x v="2"/>
    <x v="267"/>
    <d v="2023-11-12T00:00:00"/>
    <x v="12"/>
    <x v="2"/>
    <n v="5"/>
    <s v="Dr. Gupta"/>
    <n v="12436"/>
    <x v="0"/>
    <x v="1"/>
    <x v="0"/>
    <d v="2023-11-28T00:00:00"/>
    <d v="2023-11-29T23:00:00"/>
    <s v="Ultrasound"/>
    <s v="Accepted"/>
    <s v="Afternoon"/>
    <n v="4"/>
    <n v="12"/>
    <s v="Plan A"/>
    <x v="1"/>
  </r>
  <r>
    <x v="529"/>
    <x v="67"/>
    <x v="3"/>
    <x v="333"/>
    <d v="2023-12-23T00:00:00"/>
    <x v="0"/>
    <x v="1"/>
    <n v="1"/>
    <s v="Dr. Sharma"/>
    <n v="26177"/>
    <x v="1"/>
    <x v="0"/>
    <x v="0"/>
    <d v="2023-09-12T00:00:00"/>
    <d v="2023-10-12T06:00:00"/>
    <s v="CT Scan"/>
    <s v="Accepted"/>
    <s v="Night"/>
    <n v="4"/>
    <n v="12"/>
    <s v="Plan C"/>
    <x v="9"/>
  </r>
  <r>
    <x v="530"/>
    <x v="72"/>
    <x v="1"/>
    <x v="58"/>
    <d v="2024-01-28T00:00:00"/>
    <x v="7"/>
    <x v="4"/>
    <n v="4"/>
    <s v="Dr. Rao"/>
    <n v="31754"/>
    <x v="1"/>
    <x v="1"/>
    <x v="0"/>
    <d v="2024-01-20T00:00:00"/>
    <d v="2024-01-21T17:00:00"/>
    <s v="X-Ray"/>
    <s v="Accepted"/>
    <s v="Night"/>
    <n v="10"/>
    <n v="8"/>
    <s v="Plan C"/>
    <x v="10"/>
  </r>
  <r>
    <x v="531"/>
    <x v="23"/>
    <x v="5"/>
    <x v="20"/>
    <d v="2023-10-18T00:00:00"/>
    <x v="10"/>
    <x v="5"/>
    <n v="3"/>
    <s v="Dr. Patel"/>
    <n v="29544"/>
    <x v="1"/>
    <x v="0"/>
    <x v="1"/>
    <d v="2023-10-10T00:00:00"/>
    <d v="2023-11-10T19:00:00"/>
    <s v="Blood Test"/>
    <s v="Accepted"/>
    <s v="Afternoon"/>
    <n v="8"/>
    <n v="8"/>
    <s v="Plan B"/>
    <x v="9"/>
  </r>
  <r>
    <x v="532"/>
    <x v="78"/>
    <x v="5"/>
    <x v="334"/>
    <d v="2024-03-17T00:00:00"/>
    <x v="12"/>
    <x v="1"/>
    <n v="1"/>
    <s v="Dr. Mehta"/>
    <n v="17638"/>
    <x v="2"/>
    <x v="1"/>
    <x v="1"/>
    <d v="2024-07-03T00:00:00"/>
    <d v="2024-08-03T21:00:00"/>
    <s v="Blood Test"/>
    <s v="Accepted"/>
    <s v="Night"/>
    <n v="6"/>
    <n v="8"/>
    <s v="Plan B"/>
    <x v="21"/>
  </r>
  <r>
    <x v="533"/>
    <x v="22"/>
    <x v="2"/>
    <x v="335"/>
    <d v="2023-09-24T00:00:00"/>
    <x v="6"/>
    <x v="1"/>
    <n v="1"/>
    <s v="Dr. Sharma"/>
    <n v="5179"/>
    <x v="4"/>
    <x v="1"/>
    <x v="0"/>
    <d v="2023-09-13T00:00:00"/>
    <d v="2023-09-13T23:00:00"/>
    <s v="Blood Test"/>
    <s v="Accepted"/>
    <s v="Morning"/>
    <n v="8"/>
    <n v="12"/>
    <s v="Plan A"/>
    <x v="2"/>
  </r>
  <r>
    <x v="534"/>
    <x v="64"/>
    <x v="3"/>
    <x v="190"/>
    <d v="2023-03-04T00:00:00"/>
    <x v="9"/>
    <x v="5"/>
    <n v="5"/>
    <s v="Dr. Mehta"/>
    <n v="8873"/>
    <x v="3"/>
    <x v="1"/>
    <x v="0"/>
    <d v="2023-03-20T00:00:00"/>
    <d v="2023-03-20T05:00:00"/>
    <s v="Blood Test"/>
    <s v="Accepted"/>
    <s v="Night"/>
    <n v="6"/>
    <n v="10"/>
    <s v="Plan B"/>
    <x v="5"/>
  </r>
  <r>
    <x v="535"/>
    <x v="3"/>
    <x v="3"/>
    <x v="243"/>
    <d v="2024-04-29T00:00:00"/>
    <x v="3"/>
    <x v="4"/>
    <n v="2"/>
    <s v="Dr. Rao"/>
    <n v="22570"/>
    <x v="2"/>
    <x v="1"/>
    <x v="0"/>
    <d v="2024-04-26T00:00:00"/>
    <d v="2024-04-27T11:00:00"/>
    <s v="X-Ray"/>
    <s v="Accepted"/>
    <s v="Morning"/>
    <n v="6"/>
    <n v="12"/>
    <s v="Plan A"/>
    <x v="13"/>
  </r>
  <r>
    <x v="536"/>
    <x v="78"/>
    <x v="1"/>
    <x v="107"/>
    <d v="2023-01-21T00:00:00"/>
    <x v="4"/>
    <x v="3"/>
    <n v="4"/>
    <s v="Dr. Gupta"/>
    <n v="22157"/>
    <x v="4"/>
    <x v="1"/>
    <x v="0"/>
    <d v="2023-01-19T00:00:00"/>
    <d v="2023-01-20T02:00:00"/>
    <s v="X-Ray"/>
    <s v="Accepted"/>
    <s v="Night"/>
    <n v="10"/>
    <n v="10"/>
    <s v="Plan C"/>
    <x v="1"/>
  </r>
  <r>
    <x v="537"/>
    <x v="19"/>
    <x v="1"/>
    <x v="336"/>
    <d v="2023-03-03T00:00:00"/>
    <x v="6"/>
    <x v="5"/>
    <n v="3"/>
    <s v="Dr. Gupta"/>
    <n v="9460"/>
    <x v="4"/>
    <x v="0"/>
    <x v="0"/>
    <d v="2023-02-22T00:00:00"/>
    <d v="2023-02-22T14:00:00"/>
    <s v="Ultrasound"/>
    <s v="Accepted"/>
    <s v="Night"/>
    <n v="8"/>
    <n v="12"/>
    <s v="Plan B"/>
    <x v="7"/>
  </r>
  <r>
    <x v="538"/>
    <x v="36"/>
    <x v="3"/>
    <x v="247"/>
    <d v="2023-12-27T00:00:00"/>
    <x v="2"/>
    <x v="5"/>
    <n v="1"/>
    <s v="Dr. Patel"/>
    <n v="5352"/>
    <x v="0"/>
    <x v="1"/>
    <x v="1"/>
    <d v="2023-12-22T00:00:00"/>
    <d v="2023-12-23T04:00:00"/>
    <s v="CT Scan"/>
    <s v="Accepted"/>
    <s v="Afternoon"/>
    <n v="10"/>
    <n v="10"/>
    <s v="Plan C"/>
    <x v="9"/>
  </r>
  <r>
    <x v="539"/>
    <x v="38"/>
    <x v="1"/>
    <x v="337"/>
    <d v="2023-08-31T00:00:00"/>
    <x v="14"/>
    <x v="5"/>
    <n v="3"/>
    <s v="Dr. Gupta"/>
    <n v="26586"/>
    <x v="0"/>
    <x v="1"/>
    <x v="0"/>
    <d v="2023-08-16T00:00:00"/>
    <d v="2023-08-16T14:00:00"/>
    <s v="X-Ray"/>
    <s v="Accepted"/>
    <s v="Afternoon"/>
    <n v="11"/>
    <n v="12"/>
    <s v="Plan B"/>
    <x v="3"/>
  </r>
  <r>
    <x v="540"/>
    <x v="63"/>
    <x v="3"/>
    <x v="115"/>
    <d v="2023-03-27T00:00:00"/>
    <x v="8"/>
    <x v="1"/>
    <n v="2"/>
    <s v="Dr. Sharma"/>
    <n v="10344"/>
    <x v="2"/>
    <x v="0"/>
    <x v="0"/>
    <d v="2023-11-03T00:00:00"/>
    <d v="2023-12-03T08:00:00"/>
    <s v="Ultrasound"/>
    <s v="Rejected"/>
    <s v="Morning"/>
    <n v="6"/>
    <n v="12"/>
    <s v="Plan A"/>
    <x v="9"/>
  </r>
  <r>
    <x v="541"/>
    <x v="42"/>
    <x v="0"/>
    <x v="338"/>
    <d v="2023-02-25T00:00:00"/>
    <x v="13"/>
    <x v="2"/>
    <n v="2"/>
    <s v="Dr. Gupta"/>
    <n v="9507"/>
    <x v="0"/>
    <x v="0"/>
    <x v="0"/>
    <d v="2023-11-02T00:00:00"/>
    <d v="2023-11-02T18:00:00"/>
    <s v="MRI"/>
    <s v="Accepted"/>
    <s v="Afternoon"/>
    <n v="9"/>
    <n v="10"/>
    <s v="Plan C"/>
    <x v="14"/>
  </r>
  <r>
    <x v="542"/>
    <x v="0"/>
    <x v="3"/>
    <x v="339"/>
    <d v="2023-07-02T00:00:00"/>
    <x v="10"/>
    <x v="3"/>
    <n v="3"/>
    <s v="Dr. Patel"/>
    <n v="42598"/>
    <x v="4"/>
    <x v="1"/>
    <x v="0"/>
    <d v="2023-01-30T00:00:00"/>
    <d v="2023-01-30T21:00:00"/>
    <s v="CT Scan"/>
    <s v="Accepted"/>
    <s v="Afternoon"/>
    <n v="5"/>
    <n v="10"/>
    <s v="Plan C"/>
    <x v="1"/>
  </r>
  <r>
    <x v="543"/>
    <x v="5"/>
    <x v="5"/>
    <x v="128"/>
    <d v="2023-09-23T00:00:00"/>
    <x v="11"/>
    <x v="4"/>
    <n v="4"/>
    <s v="Dr. Rao"/>
    <n v="48988"/>
    <x v="0"/>
    <x v="1"/>
    <x v="1"/>
    <d v="2023-08-09T00:00:00"/>
    <d v="2023-08-09T19:00:00"/>
    <s v="X-Ray"/>
    <s v="Accepted"/>
    <s v="Afternoon"/>
    <n v="11"/>
    <n v="10"/>
    <s v="Plan B"/>
    <x v="14"/>
  </r>
  <r>
    <x v="544"/>
    <x v="82"/>
    <x v="1"/>
    <x v="245"/>
    <d v="2023-07-26T00:00:00"/>
    <x v="2"/>
    <x v="4"/>
    <n v="2"/>
    <s v="Dr. Rao"/>
    <n v="37885"/>
    <x v="1"/>
    <x v="1"/>
    <x v="0"/>
    <d v="2023-07-23T00:00:00"/>
    <d v="2023-07-23T22:00:00"/>
    <s v="MRI"/>
    <s v="Accepted"/>
    <s v="Afternoon"/>
    <n v="6"/>
    <n v="10"/>
    <s v="Plan C"/>
    <x v="11"/>
  </r>
  <r>
    <x v="545"/>
    <x v="81"/>
    <x v="3"/>
    <x v="320"/>
    <d v="2023-01-30T00:00:00"/>
    <x v="9"/>
    <x v="2"/>
    <n v="3"/>
    <s v="Dr. Gupta"/>
    <n v="21865"/>
    <x v="0"/>
    <x v="0"/>
    <x v="0"/>
    <d v="2023-01-18T00:00:00"/>
    <d v="2023-01-19T12:00:00"/>
    <s v="Ultrasound"/>
    <s v="Accepted"/>
    <s v="Afternoon"/>
    <n v="9"/>
    <n v="10"/>
    <s v="Plan A"/>
    <x v="1"/>
  </r>
  <r>
    <x v="546"/>
    <x v="64"/>
    <x v="3"/>
    <x v="86"/>
    <d v="2023-06-17T00:00:00"/>
    <x v="0"/>
    <x v="5"/>
    <n v="1"/>
    <s v="Dr. Mehta"/>
    <n v="42055"/>
    <x v="4"/>
    <x v="0"/>
    <x v="0"/>
    <d v="2023-04-06T00:00:00"/>
    <d v="2023-05-06T13:00:00"/>
    <s v="X-Ray"/>
    <s v="Accepted"/>
    <s v="Morning"/>
    <n v="6"/>
    <n v="10"/>
    <s v="Plan C"/>
    <x v="8"/>
  </r>
  <r>
    <x v="547"/>
    <x v="86"/>
    <x v="1"/>
    <x v="194"/>
    <d v="2023-05-09T00:00:00"/>
    <x v="3"/>
    <x v="3"/>
    <n v="3"/>
    <s v="Dr. Rao"/>
    <n v="32213"/>
    <x v="2"/>
    <x v="0"/>
    <x v="1"/>
    <d v="2023-08-31T00:00:00"/>
    <d v="2023-08-31T09:00:00"/>
    <s v="X-Ray"/>
    <s v="Accepted"/>
    <s v="Morning"/>
    <n v="9"/>
    <n v="10"/>
    <s v="Plan C"/>
    <x v="7"/>
  </r>
  <r>
    <x v="548"/>
    <x v="0"/>
    <x v="0"/>
    <x v="340"/>
    <d v="2023-11-05T00:00:00"/>
    <x v="4"/>
    <x v="4"/>
    <n v="3"/>
    <s v="Dr. Gupta"/>
    <n v="9477"/>
    <x v="3"/>
    <x v="0"/>
    <x v="1"/>
    <d v="2023-08-05T00:00:00"/>
    <d v="2023-09-05T13:00:00"/>
    <s v="MRI"/>
    <s v="Rejected"/>
    <s v="Afternoon"/>
    <n v="8"/>
    <n v="10"/>
    <s v="Plan B"/>
    <x v="15"/>
  </r>
  <r>
    <x v="549"/>
    <x v="53"/>
    <x v="0"/>
    <x v="143"/>
    <d v="2024-03-05T00:00:00"/>
    <x v="7"/>
    <x v="0"/>
    <n v="5"/>
    <s v="Dr. Patel"/>
    <n v="11533"/>
    <x v="0"/>
    <x v="1"/>
    <x v="1"/>
    <d v="2024-04-25T00:00:00"/>
    <d v="2024-04-26T08:00:00"/>
    <s v="X-Ray"/>
    <s v="Accepted"/>
    <s v="Afternoon"/>
    <n v="4"/>
    <n v="12"/>
    <s v="Plan C"/>
    <x v="13"/>
  </r>
  <r>
    <x v="550"/>
    <x v="12"/>
    <x v="1"/>
    <x v="93"/>
    <d v="2023-10-05T00:00:00"/>
    <x v="11"/>
    <x v="4"/>
    <n v="2"/>
    <s v="Dr. Gupta"/>
    <n v="28396"/>
    <x v="4"/>
    <x v="0"/>
    <x v="1"/>
    <d v="2023-04-23T00:00:00"/>
    <d v="2023-04-23T22:00:00"/>
    <s v="Blood Test"/>
    <s v="Accepted"/>
    <s v="Morning"/>
    <n v="7"/>
    <n v="10"/>
    <s v="Plan B"/>
    <x v="0"/>
  </r>
  <r>
    <x v="551"/>
    <x v="65"/>
    <x v="4"/>
    <x v="12"/>
    <d v="2023-08-20T00:00:00"/>
    <x v="6"/>
    <x v="5"/>
    <n v="4"/>
    <s v="Dr. Rao"/>
    <n v="17755"/>
    <x v="3"/>
    <x v="1"/>
    <x v="0"/>
    <d v="2023-08-08T00:00:00"/>
    <d v="2023-09-08T20:00:00"/>
    <s v="X-Ray"/>
    <s v="Accepted"/>
    <s v="Night"/>
    <n v="11"/>
    <n v="10"/>
    <s v="Plan B"/>
    <x v="9"/>
  </r>
  <r>
    <x v="552"/>
    <x v="82"/>
    <x v="1"/>
    <x v="276"/>
    <d v="2024-04-29T00:00:00"/>
    <x v="6"/>
    <x v="0"/>
    <n v="4"/>
    <s v="Dr. Patel"/>
    <n v="5865"/>
    <x v="3"/>
    <x v="1"/>
    <x v="0"/>
    <d v="2024-04-21T00:00:00"/>
    <d v="2024-04-21T04:00:00"/>
    <s v="CT Scan"/>
    <s v="Accepted"/>
    <s v="Morning"/>
    <n v="6"/>
    <n v="12"/>
    <s v="Plan C"/>
    <x v="13"/>
  </r>
  <r>
    <x v="553"/>
    <x v="75"/>
    <x v="1"/>
    <x v="341"/>
    <d v="2023-09-29T00:00:00"/>
    <x v="9"/>
    <x v="2"/>
    <n v="5"/>
    <s v="Dr. Gupta"/>
    <n v="16173"/>
    <x v="1"/>
    <x v="1"/>
    <x v="0"/>
    <d v="2023-09-18T00:00:00"/>
    <d v="2023-09-18T03:00:00"/>
    <s v="MRI"/>
    <s v="Accepted"/>
    <s v="Night"/>
    <n v="7"/>
    <n v="12"/>
    <s v="Plan A"/>
    <x v="2"/>
  </r>
  <r>
    <x v="554"/>
    <x v="32"/>
    <x v="0"/>
    <x v="342"/>
    <d v="2024-01-22T00:00:00"/>
    <x v="9"/>
    <x v="3"/>
    <n v="4"/>
    <s v="Dr. Sharma"/>
    <n v="43097"/>
    <x v="3"/>
    <x v="0"/>
    <x v="0"/>
    <d v="2024-08-01T00:00:00"/>
    <d v="2024-08-01T07:00:00"/>
    <s v="CT Scan"/>
    <s v="Accepted"/>
    <s v="Afternoon"/>
    <n v="6"/>
    <n v="8"/>
    <s v="Plan B"/>
    <x v="10"/>
  </r>
  <r>
    <x v="555"/>
    <x v="12"/>
    <x v="0"/>
    <x v="343"/>
    <d v="2023-01-07T00:00:00"/>
    <x v="12"/>
    <x v="2"/>
    <n v="3"/>
    <s v="Dr. Patel"/>
    <n v="38371"/>
    <x v="4"/>
    <x v="0"/>
    <x v="0"/>
    <d v="2023-06-19T00:00:00"/>
    <d v="2023-06-20T17:00:00"/>
    <s v="Ultrasound"/>
    <s v="Accepted"/>
    <s v="Afternoon"/>
    <n v="8"/>
    <n v="8"/>
    <s v="Plan C"/>
    <x v="8"/>
  </r>
  <r>
    <x v="556"/>
    <x v="24"/>
    <x v="1"/>
    <x v="93"/>
    <d v="2023-01-05T00:00:00"/>
    <x v="3"/>
    <x v="2"/>
    <n v="5"/>
    <s v="Dr. Sharma"/>
    <n v="43524"/>
    <x v="4"/>
    <x v="1"/>
    <x v="1"/>
    <d v="2023-04-23T00:00:00"/>
    <d v="2023-04-24T06:00:00"/>
    <s v="CT Scan"/>
    <s v="Accepted"/>
    <s v="Morning"/>
    <n v="8"/>
    <n v="10"/>
    <s v="Plan B"/>
    <x v="0"/>
  </r>
  <r>
    <x v="557"/>
    <x v="20"/>
    <x v="1"/>
    <x v="56"/>
    <d v="2023-06-23T00:00:00"/>
    <x v="10"/>
    <x v="3"/>
    <n v="1"/>
    <s v="Dr. Mehta"/>
    <n v="16254"/>
    <x v="0"/>
    <x v="0"/>
    <x v="0"/>
    <d v="2023-06-16T00:00:00"/>
    <d v="2023-06-16T02:00:00"/>
    <s v="Blood Test"/>
    <s v="Accepted"/>
    <s v="Afternoon"/>
    <n v="9"/>
    <n v="10"/>
    <s v="Plan A"/>
    <x v="8"/>
  </r>
  <r>
    <x v="558"/>
    <x v="32"/>
    <x v="1"/>
    <x v="344"/>
    <d v="2023-11-21T00:00:00"/>
    <x v="10"/>
    <x v="3"/>
    <n v="2"/>
    <s v="Dr. Patel"/>
    <n v="9018"/>
    <x v="0"/>
    <x v="0"/>
    <x v="0"/>
    <d v="2023-11-15T00:00:00"/>
    <d v="2023-11-15T08:00:00"/>
    <s v="Blood Test"/>
    <s v="Rejected"/>
    <s v="Night"/>
    <n v="6"/>
    <n v="8"/>
    <s v="Plan A"/>
    <x v="14"/>
  </r>
  <r>
    <x v="559"/>
    <x v="35"/>
    <x v="0"/>
    <x v="240"/>
    <d v="2023-06-05T00:00:00"/>
    <x v="8"/>
    <x v="4"/>
    <n v="2"/>
    <s v="Dr. Sharma"/>
    <n v="10192"/>
    <x v="0"/>
    <x v="1"/>
    <x v="1"/>
    <d v="2023-04-16T00:00:00"/>
    <d v="2023-04-16T11:00:00"/>
    <s v="CT Scan"/>
    <s v="Accepted"/>
    <s v="Night"/>
    <n v="8"/>
    <n v="8"/>
    <s v="Plan B"/>
    <x v="0"/>
  </r>
  <r>
    <x v="560"/>
    <x v="62"/>
    <x v="1"/>
    <x v="345"/>
    <d v="2023-01-02T00:00:00"/>
    <x v="5"/>
    <x v="4"/>
    <n v="2"/>
    <s v="Dr. Rao"/>
    <n v="7015"/>
    <x v="3"/>
    <x v="1"/>
    <x v="1"/>
    <d v="2023-01-27T00:00:00"/>
    <d v="2023-01-28T05:00:00"/>
    <s v="Ultrasound"/>
    <s v="Accepted"/>
    <s v="Morning"/>
    <n v="8"/>
    <n v="10"/>
    <s v="Plan A"/>
    <x v="1"/>
  </r>
  <r>
    <x v="561"/>
    <x v="41"/>
    <x v="1"/>
    <x v="123"/>
    <d v="2023-11-23T00:00:00"/>
    <x v="1"/>
    <x v="3"/>
    <n v="3"/>
    <s v="Dr. Rao"/>
    <n v="47618"/>
    <x v="3"/>
    <x v="0"/>
    <x v="0"/>
    <d v="2023-11-13T00:00:00"/>
    <d v="2023-11-14T06:00:00"/>
    <s v="X-Ray"/>
    <s v="Accepted"/>
    <s v="Night"/>
    <n v="6"/>
    <n v="8"/>
    <s v="Plan C"/>
    <x v="14"/>
  </r>
  <r>
    <x v="562"/>
    <x v="6"/>
    <x v="2"/>
    <x v="346"/>
    <d v="2024-01-27T00:00:00"/>
    <x v="1"/>
    <x v="0"/>
    <n v="1"/>
    <s v="Dr. Mehta"/>
    <n v="8380"/>
    <x v="1"/>
    <x v="1"/>
    <x v="0"/>
    <d v="2024-01-18T00:00:00"/>
    <d v="2024-01-18T01:00:00"/>
    <s v="Blood Test"/>
    <s v="Accepted"/>
    <s v="Morning"/>
    <n v="9"/>
    <n v="10"/>
    <s v="Plan C"/>
    <x v="10"/>
  </r>
  <r>
    <x v="563"/>
    <x v="7"/>
    <x v="4"/>
    <x v="347"/>
    <d v="2024-02-24T00:00:00"/>
    <x v="14"/>
    <x v="1"/>
    <n v="5"/>
    <s v="Dr. Patel"/>
    <n v="33343"/>
    <x v="0"/>
    <x v="1"/>
    <x v="0"/>
    <d v="2024-10-02T00:00:00"/>
    <d v="2024-11-02T04:00:00"/>
    <s v="CT Scan"/>
    <s v="Accepted"/>
    <s v="Morning"/>
    <n v="9"/>
    <n v="12"/>
    <s v="Plan B"/>
    <x v="23"/>
  </r>
  <r>
    <x v="564"/>
    <x v="33"/>
    <x v="5"/>
    <x v="16"/>
    <d v="2023-07-29T00:00:00"/>
    <x v="10"/>
    <x v="4"/>
    <n v="5"/>
    <s v="Dr. Patel"/>
    <n v="8770"/>
    <x v="2"/>
    <x v="0"/>
    <x v="1"/>
    <d v="2023-07-20T00:00:00"/>
    <d v="2023-07-20T13:00:00"/>
    <s v="CT Scan"/>
    <s v="Accepted"/>
    <s v="Night"/>
    <n v="9"/>
    <n v="12"/>
    <s v="Plan A"/>
    <x v="11"/>
  </r>
  <r>
    <x v="565"/>
    <x v="19"/>
    <x v="4"/>
    <x v="162"/>
    <d v="2023-03-30T00:00:00"/>
    <x v="0"/>
    <x v="1"/>
    <n v="2"/>
    <s v="Dr. Patel"/>
    <n v="10829"/>
    <x v="1"/>
    <x v="0"/>
    <x v="0"/>
    <d v="2023-03-14T00:00:00"/>
    <d v="2023-03-15T21:00:00"/>
    <s v="CT Scan"/>
    <s v="Accepted"/>
    <s v="Night"/>
    <n v="9"/>
    <n v="8"/>
    <s v="Plan C"/>
    <x v="5"/>
  </r>
  <r>
    <x v="566"/>
    <x v="36"/>
    <x v="2"/>
    <x v="144"/>
    <d v="2023-09-16T00:00:00"/>
    <x v="12"/>
    <x v="0"/>
    <n v="1"/>
    <s v="Dr. Mehta"/>
    <n v="39381"/>
    <x v="2"/>
    <x v="0"/>
    <x v="0"/>
    <d v="2023-02-09T00:00:00"/>
    <d v="2023-02-09T09:00:00"/>
    <s v="X-Ray"/>
    <s v="Accepted"/>
    <s v="Night"/>
    <n v="4"/>
    <n v="12"/>
    <s v="Plan C"/>
    <x v="8"/>
  </r>
  <r>
    <x v="567"/>
    <x v="50"/>
    <x v="5"/>
    <x v="6"/>
    <d v="2023-04-16T00:00:00"/>
    <x v="4"/>
    <x v="3"/>
    <n v="1"/>
    <s v="Dr. Patel"/>
    <n v="20545"/>
    <x v="3"/>
    <x v="0"/>
    <x v="1"/>
    <d v="2023-10-04T00:00:00"/>
    <d v="2023-11-04T18:00:00"/>
    <s v="MRI"/>
    <s v="Accepted"/>
    <s v="Night"/>
    <n v="6"/>
    <n v="12"/>
    <s v="Plan C"/>
    <x v="0"/>
  </r>
  <r>
    <x v="568"/>
    <x v="20"/>
    <x v="1"/>
    <x v="271"/>
    <d v="2023-11-18T00:00:00"/>
    <x v="14"/>
    <x v="0"/>
    <n v="1"/>
    <s v="Dr. Rao"/>
    <n v="23263"/>
    <x v="1"/>
    <x v="1"/>
    <x v="0"/>
    <d v="2023-03-11T00:00:00"/>
    <d v="2023-03-11T20:00:00"/>
    <s v="Ultrasound"/>
    <s v="Accepted"/>
    <s v="Night"/>
    <n v="10"/>
    <n v="12"/>
    <s v="Plan B"/>
    <x v="4"/>
  </r>
  <r>
    <x v="569"/>
    <x v="80"/>
    <x v="2"/>
    <x v="127"/>
    <d v="2023-05-15T00:00:00"/>
    <x v="0"/>
    <x v="4"/>
    <n v="4"/>
    <s v="Dr. Sharma"/>
    <n v="43140"/>
    <x v="1"/>
    <x v="1"/>
    <x v="1"/>
    <d v="2023-04-29T00:00:00"/>
    <d v="2023-04-29T11:00:00"/>
    <s v="MRI"/>
    <s v="Rejected"/>
    <s v="Night"/>
    <n v="4"/>
    <n v="12"/>
    <s v="Plan B"/>
    <x v="0"/>
  </r>
  <r>
    <x v="570"/>
    <x v="30"/>
    <x v="1"/>
    <x v="231"/>
    <d v="2023-02-23T00:00:00"/>
    <x v="0"/>
    <x v="2"/>
    <n v="4"/>
    <s v="Dr. Rao"/>
    <n v="48306"/>
    <x v="4"/>
    <x v="1"/>
    <x v="0"/>
    <d v="2023-12-02T00:00:00"/>
    <d v="2023-12-02T18:00:00"/>
    <s v="Ultrasound"/>
    <s v="Accepted"/>
    <s v="Night"/>
    <n v="8"/>
    <n v="10"/>
    <s v="Plan C"/>
    <x v="9"/>
  </r>
  <r>
    <x v="571"/>
    <x v="87"/>
    <x v="0"/>
    <x v="348"/>
    <d v="2023-12-28T00:00:00"/>
    <x v="10"/>
    <x v="3"/>
    <n v="2"/>
    <s v="Dr. Rao"/>
    <n v="30675"/>
    <x v="3"/>
    <x v="1"/>
    <x v="1"/>
    <d v="2023-12-17T00:00:00"/>
    <d v="2023-12-17T06:00:00"/>
    <s v="Ultrasound"/>
    <s v="Accepted"/>
    <s v="Afternoon"/>
    <n v="4"/>
    <n v="10"/>
    <s v="Plan C"/>
    <x v="9"/>
  </r>
  <r>
    <x v="572"/>
    <x v="72"/>
    <x v="3"/>
    <x v="78"/>
    <d v="2024-03-16T00:00:00"/>
    <x v="2"/>
    <x v="5"/>
    <n v="1"/>
    <s v="Dr. Sharma"/>
    <n v="30362"/>
    <x v="3"/>
    <x v="0"/>
    <x v="1"/>
    <d v="2024-12-03T00:00:00"/>
    <d v="2024-03-13T18:00:00"/>
    <s v="CT Scan"/>
    <s v="Accepted"/>
    <s v="Morning"/>
    <n v="11"/>
    <n v="8"/>
    <s v="Plan A"/>
    <x v="16"/>
  </r>
  <r>
    <x v="573"/>
    <x v="52"/>
    <x v="2"/>
    <x v="50"/>
    <d v="2024-01-21T00:00:00"/>
    <x v="10"/>
    <x v="1"/>
    <n v="1"/>
    <s v="Dr. Rao"/>
    <n v="5148"/>
    <x v="1"/>
    <x v="1"/>
    <x v="1"/>
    <d v="2024-01-13T00:00:00"/>
    <d v="2024-01-14T00:00:00"/>
    <s v="Blood Test"/>
    <s v="Accepted"/>
    <s v="Morning"/>
    <n v="10"/>
    <n v="12"/>
    <s v="Plan A"/>
    <x v="10"/>
  </r>
  <r>
    <x v="574"/>
    <x v="24"/>
    <x v="0"/>
    <x v="115"/>
    <d v="2023-03-14T00:00:00"/>
    <x v="2"/>
    <x v="0"/>
    <n v="5"/>
    <s v="Dr. Mehta"/>
    <n v="6754"/>
    <x v="3"/>
    <x v="1"/>
    <x v="1"/>
    <d v="2023-08-03T00:00:00"/>
    <d v="2023-08-03T17:00:00"/>
    <s v="CT Scan"/>
    <s v="Accepted"/>
    <s v="Night"/>
    <n v="10"/>
    <n v="12"/>
    <s v="Plan A"/>
    <x v="9"/>
  </r>
  <r>
    <x v="575"/>
    <x v="36"/>
    <x v="2"/>
    <x v="202"/>
    <d v="2024-11-06T00:00:00"/>
    <x v="9"/>
    <x v="3"/>
    <n v="5"/>
    <s v="Dr. Sharma"/>
    <n v="31745"/>
    <x v="1"/>
    <x v="1"/>
    <x v="0"/>
    <d v="2024-01-06T00:00:00"/>
    <d v="2024-01-06T06:00:00"/>
    <s v="X-Ray"/>
    <s v="Rejected"/>
    <s v="Morning"/>
    <n v="10"/>
    <n v="12"/>
    <s v="Plan B"/>
    <x v="19"/>
  </r>
  <r>
    <x v="576"/>
    <x v="45"/>
    <x v="2"/>
    <x v="349"/>
    <d v="2023-12-27T00:00:00"/>
    <x v="0"/>
    <x v="0"/>
    <n v="2"/>
    <s v="Dr. Rao"/>
    <n v="12378"/>
    <x v="4"/>
    <x v="0"/>
    <x v="1"/>
    <d v="2023-12-15T00:00:00"/>
    <d v="2023-12-16T00:00:00"/>
    <s v="Ultrasound"/>
    <s v="Accepted"/>
    <s v="Night"/>
    <n v="9"/>
    <n v="8"/>
    <s v="Plan C"/>
    <x v="9"/>
  </r>
  <r>
    <x v="577"/>
    <x v="68"/>
    <x v="0"/>
    <x v="350"/>
    <d v="2023-01-20T00:00:00"/>
    <x v="1"/>
    <x v="3"/>
    <n v="1"/>
    <s v="Dr. Gupta"/>
    <n v="25140"/>
    <x v="1"/>
    <x v="1"/>
    <x v="0"/>
    <d v="2023-12-01T00:00:00"/>
    <d v="2023-01-13T19:00:00"/>
    <s v="Blood Test"/>
    <s v="Accepted"/>
    <s v="Afternoon"/>
    <n v="8"/>
    <n v="10"/>
    <s v="Plan B"/>
    <x v="1"/>
  </r>
  <r>
    <x v="578"/>
    <x v="74"/>
    <x v="5"/>
    <x v="269"/>
    <d v="2024-11-03T00:00:00"/>
    <x v="5"/>
    <x v="4"/>
    <n v="2"/>
    <s v="Dr. Rao"/>
    <n v="14371"/>
    <x v="3"/>
    <x v="1"/>
    <x v="1"/>
    <d v="2024-03-03T00:00:00"/>
    <d v="2024-04-03T18:00:00"/>
    <s v="Ultrasound"/>
    <s v="Accepted"/>
    <s v="Morning"/>
    <n v="4"/>
    <n v="12"/>
    <s v="Plan C"/>
    <x v="17"/>
  </r>
  <r>
    <x v="579"/>
    <x v="62"/>
    <x v="4"/>
    <x v="351"/>
    <d v="2024-05-21T00:00:00"/>
    <x v="5"/>
    <x v="4"/>
    <n v="5"/>
    <s v="Dr. Mehta"/>
    <n v="31999"/>
    <x v="3"/>
    <x v="1"/>
    <x v="0"/>
    <d v="2024-05-15T00:00:00"/>
    <d v="2024-05-15T11:00:00"/>
    <s v="Ultrasound"/>
    <s v="Accepted"/>
    <s v="Morning"/>
    <n v="4"/>
    <n v="10"/>
    <s v="Plan A"/>
    <x v="12"/>
  </r>
  <r>
    <x v="580"/>
    <x v="57"/>
    <x v="1"/>
    <x v="100"/>
    <d v="2023-01-05T00:00:00"/>
    <x v="11"/>
    <x v="4"/>
    <n v="5"/>
    <s v="Dr. Patel"/>
    <n v="17779"/>
    <x v="1"/>
    <x v="0"/>
    <x v="0"/>
    <d v="2023-04-16T00:00:00"/>
    <d v="2023-04-16T04:00:00"/>
    <s v="CT Scan"/>
    <s v="Accepted"/>
    <s v="Afternoon"/>
    <n v="11"/>
    <n v="8"/>
    <s v="Plan A"/>
    <x v="0"/>
  </r>
  <r>
    <x v="581"/>
    <x v="66"/>
    <x v="2"/>
    <x v="352"/>
    <d v="2024-02-04T00:00:00"/>
    <x v="13"/>
    <x v="0"/>
    <n v="4"/>
    <s v="Dr. Rao"/>
    <n v="36075"/>
    <x v="1"/>
    <x v="1"/>
    <x v="1"/>
    <d v="2024-03-14T00:00:00"/>
    <d v="2024-03-15T02:00:00"/>
    <s v="Blood Test"/>
    <s v="Accepted"/>
    <s v="Afternoon"/>
    <n v="6"/>
    <n v="10"/>
    <s v="Plan A"/>
    <x v="16"/>
  </r>
  <r>
    <x v="582"/>
    <x v="15"/>
    <x v="1"/>
    <x v="39"/>
    <d v="2024-01-17T00:00:00"/>
    <x v="0"/>
    <x v="5"/>
    <n v="2"/>
    <s v="Dr. Patel"/>
    <n v="35697"/>
    <x v="1"/>
    <x v="1"/>
    <x v="0"/>
    <d v="2024-02-01T00:00:00"/>
    <d v="2024-03-01T17:00:00"/>
    <s v="Blood Test"/>
    <s v="Accepted"/>
    <s v="Afternoon"/>
    <n v="4"/>
    <n v="12"/>
    <s v="Plan A"/>
    <x v="17"/>
  </r>
  <r>
    <x v="583"/>
    <x v="5"/>
    <x v="3"/>
    <x v="34"/>
    <d v="2024-04-30T00:00:00"/>
    <x v="8"/>
    <x v="4"/>
    <n v="2"/>
    <s v="Dr. Gupta"/>
    <n v="14795"/>
    <x v="0"/>
    <x v="1"/>
    <x v="1"/>
    <d v="2024-04-13T00:00:00"/>
    <d v="2024-04-13T20:00:00"/>
    <s v="Ultrasound"/>
    <s v="Accepted"/>
    <s v="Morning"/>
    <n v="11"/>
    <n v="10"/>
    <s v="Plan C"/>
    <x v="13"/>
  </r>
  <r>
    <x v="584"/>
    <x v="40"/>
    <x v="0"/>
    <x v="86"/>
    <d v="2023-06-16T00:00:00"/>
    <x v="12"/>
    <x v="3"/>
    <n v="1"/>
    <s v="Dr. Rao"/>
    <n v="43460"/>
    <x v="3"/>
    <x v="0"/>
    <x v="0"/>
    <d v="2023-03-06T00:00:00"/>
    <d v="2023-04-06T23:00:00"/>
    <s v="Blood Test"/>
    <s v="Accepted"/>
    <s v="Morning"/>
    <n v="8"/>
    <n v="10"/>
    <s v="Plan A"/>
    <x v="8"/>
  </r>
  <r>
    <x v="585"/>
    <x v="59"/>
    <x v="1"/>
    <x v="94"/>
    <d v="2024-04-04T00:00:00"/>
    <x v="13"/>
    <x v="4"/>
    <n v="1"/>
    <s v="Dr. Sharma"/>
    <n v="9218"/>
    <x v="3"/>
    <x v="1"/>
    <x v="0"/>
    <d v="2024-03-16T00:00:00"/>
    <d v="2024-03-17T21:00:00"/>
    <s v="Blood Test"/>
    <s v="Accepted"/>
    <s v="Afternoon"/>
    <n v="9"/>
    <n v="8"/>
    <s v="Plan C"/>
    <x v="16"/>
  </r>
  <r>
    <x v="586"/>
    <x v="67"/>
    <x v="0"/>
    <x v="293"/>
    <d v="2023-03-07T00:00:00"/>
    <x v="3"/>
    <x v="2"/>
    <n v="4"/>
    <s v="Dr. Patel"/>
    <n v="42571"/>
    <x v="0"/>
    <x v="1"/>
    <x v="0"/>
    <d v="2023-06-26T00:00:00"/>
    <d v="2023-06-26T15:00:00"/>
    <s v="CT Scan"/>
    <s v="Accepted"/>
    <s v="Afternoon"/>
    <n v="6"/>
    <n v="8"/>
    <s v="Plan C"/>
    <x v="8"/>
  </r>
  <r>
    <x v="587"/>
    <x v="80"/>
    <x v="1"/>
    <x v="353"/>
    <d v="2024-06-24T00:00:00"/>
    <x v="10"/>
    <x v="4"/>
    <n v="3"/>
    <s v="Dr. Gupta"/>
    <n v="16672"/>
    <x v="1"/>
    <x v="1"/>
    <x v="0"/>
    <d v="2024-06-15T00:00:00"/>
    <d v="2024-06-16T04:00:00"/>
    <s v="MRI"/>
    <s v="Accepted"/>
    <s v="Afternoon"/>
    <n v="11"/>
    <n v="8"/>
    <s v="Plan B"/>
    <x v="17"/>
  </r>
  <r>
    <x v="588"/>
    <x v="38"/>
    <x v="4"/>
    <x v="59"/>
    <d v="2023-06-10T00:00:00"/>
    <x v="2"/>
    <x v="0"/>
    <n v="3"/>
    <s v="Dr. Sharma"/>
    <n v="36042"/>
    <x v="4"/>
    <x v="1"/>
    <x v="0"/>
    <d v="2023-09-30T00:00:00"/>
    <d v="2023-01-10T18:00:00"/>
    <s v="X-Ray"/>
    <s v="Accepted"/>
    <s v="Afternoon"/>
    <n v="4"/>
    <n v="8"/>
    <s v="Plan A"/>
    <x v="0"/>
  </r>
  <r>
    <x v="589"/>
    <x v="21"/>
    <x v="4"/>
    <x v="354"/>
    <d v="2024-05-20T00:00:00"/>
    <x v="12"/>
    <x v="5"/>
    <n v="3"/>
    <s v="Dr. Sharma"/>
    <n v="40950"/>
    <x v="1"/>
    <x v="0"/>
    <x v="1"/>
    <d v="2024-05-05T00:00:00"/>
    <d v="2024-05-05T06:00:00"/>
    <s v="MRI"/>
    <s v="Accepted"/>
    <s v="Afternoon"/>
    <n v="6"/>
    <n v="10"/>
    <s v="Plan A"/>
    <x v="20"/>
  </r>
  <r>
    <x v="590"/>
    <x v="58"/>
    <x v="4"/>
    <x v="276"/>
    <d v="2024-02-05T00:00:00"/>
    <x v="0"/>
    <x v="2"/>
    <n v="2"/>
    <s v="Dr. Sharma"/>
    <n v="16009"/>
    <x v="1"/>
    <x v="1"/>
    <x v="1"/>
    <d v="2024-04-20T00:00:00"/>
    <d v="2024-04-21T22:00:00"/>
    <s v="Blood Test"/>
    <s v="Rejected"/>
    <s v="Night"/>
    <n v="7"/>
    <n v="10"/>
    <s v="Plan B"/>
    <x v="13"/>
  </r>
  <r>
    <x v="591"/>
    <x v="34"/>
    <x v="4"/>
    <x v="258"/>
    <d v="2024-03-25T00:00:00"/>
    <x v="3"/>
    <x v="0"/>
    <n v="2"/>
    <s v="Dr. Sharma"/>
    <n v="24544"/>
    <x v="0"/>
    <x v="0"/>
    <x v="0"/>
    <d v="2024-03-21T00:00:00"/>
    <d v="2024-03-21T07:00:00"/>
    <s v="Ultrasound"/>
    <s v="Accepted"/>
    <s v="Afternoon"/>
    <n v="6"/>
    <n v="8"/>
    <s v="Plan C"/>
    <x v="16"/>
  </r>
  <r>
    <x v="592"/>
    <x v="44"/>
    <x v="4"/>
    <x v="66"/>
    <d v="2023-10-17T00:00:00"/>
    <x v="8"/>
    <x v="0"/>
    <n v="5"/>
    <s v="Dr. Rao"/>
    <n v="34381"/>
    <x v="3"/>
    <x v="0"/>
    <x v="0"/>
    <d v="2023-09-27T00:00:00"/>
    <d v="2023-09-27T01:00:00"/>
    <s v="X-Ray"/>
    <s v="Accepted"/>
    <s v="Night"/>
    <n v="10"/>
    <n v="8"/>
    <s v="Plan A"/>
    <x v="7"/>
  </r>
  <r>
    <x v="593"/>
    <x v="76"/>
    <x v="4"/>
    <x v="355"/>
    <d v="2023-03-12T00:00:00"/>
    <x v="10"/>
    <x v="0"/>
    <n v="2"/>
    <s v="Dr. Rao"/>
    <n v="30287"/>
    <x v="1"/>
    <x v="1"/>
    <x v="0"/>
    <d v="2023-11-23T00:00:00"/>
    <d v="2023-11-23T14:00:00"/>
    <s v="X-Ray"/>
    <s v="Accepted"/>
    <s v="Morning"/>
    <n v="9"/>
    <n v="12"/>
    <s v="Plan C"/>
    <x v="14"/>
  </r>
  <r>
    <x v="594"/>
    <x v="85"/>
    <x v="0"/>
    <x v="356"/>
    <d v="2023-09-14T00:00:00"/>
    <x v="5"/>
    <x v="3"/>
    <n v="2"/>
    <s v="Dr. Rao"/>
    <n v="7586"/>
    <x v="3"/>
    <x v="0"/>
    <x v="0"/>
    <d v="2023-09-09T00:00:00"/>
    <d v="2023-10-09T07:00:00"/>
    <s v="Ultrasound"/>
    <s v="Accepted"/>
    <s v="Morning"/>
    <n v="10"/>
    <n v="12"/>
    <s v="Plan B"/>
    <x v="2"/>
  </r>
  <r>
    <x v="595"/>
    <x v="78"/>
    <x v="2"/>
    <x v="357"/>
    <d v="2023-10-04T00:00:00"/>
    <x v="0"/>
    <x v="0"/>
    <n v="2"/>
    <s v="Dr. Gupta"/>
    <n v="7648"/>
    <x v="2"/>
    <x v="0"/>
    <x v="0"/>
    <d v="2023-03-26T00:00:00"/>
    <d v="2023-03-26T05:00:00"/>
    <s v="X-Ray"/>
    <s v="Accepted"/>
    <s v="Night"/>
    <n v="7"/>
    <n v="8"/>
    <s v="Plan C"/>
    <x v="5"/>
  </r>
  <r>
    <x v="596"/>
    <x v="3"/>
    <x v="1"/>
    <x v="140"/>
    <d v="2023-10-25T00:00:00"/>
    <x v="11"/>
    <x v="3"/>
    <n v="4"/>
    <s v="Dr. Gupta"/>
    <n v="45081"/>
    <x v="3"/>
    <x v="0"/>
    <x v="0"/>
    <d v="2023-10-10T00:00:00"/>
    <d v="2023-10-10T09:00:00"/>
    <s v="Ultrasound"/>
    <s v="Accepted"/>
    <s v="Afternoon"/>
    <n v="10"/>
    <n v="10"/>
    <s v="Plan A"/>
    <x v="15"/>
  </r>
  <r>
    <x v="597"/>
    <x v="47"/>
    <x v="4"/>
    <x v="358"/>
    <d v="2024-04-17T00:00:00"/>
    <x v="0"/>
    <x v="0"/>
    <n v="2"/>
    <s v="Dr. Gupta"/>
    <n v="23101"/>
    <x v="4"/>
    <x v="1"/>
    <x v="0"/>
    <d v="2024-02-04T00:00:00"/>
    <d v="2024-03-04T14:00:00"/>
    <s v="X-Ray"/>
    <s v="Accepted"/>
    <s v="Morning"/>
    <n v="7"/>
    <n v="8"/>
    <s v="Plan C"/>
    <x v="17"/>
  </r>
  <r>
    <x v="598"/>
    <x v="32"/>
    <x v="0"/>
    <x v="290"/>
    <d v="2023-09-14T00:00:00"/>
    <x v="1"/>
    <x v="1"/>
    <n v="1"/>
    <s v="Dr. Mehta"/>
    <n v="26692"/>
    <x v="4"/>
    <x v="1"/>
    <x v="0"/>
    <d v="2023-02-09T00:00:00"/>
    <d v="2023-02-09T15:00:00"/>
    <s v="MRI"/>
    <s v="Accepted"/>
    <s v="Afternoon"/>
    <n v="6"/>
    <n v="10"/>
    <s v="Plan C"/>
    <x v="11"/>
  </r>
  <r>
    <x v="599"/>
    <x v="50"/>
    <x v="0"/>
    <x v="295"/>
    <d v="2024-04-23T00:00:00"/>
    <x v="3"/>
    <x v="2"/>
    <n v="1"/>
    <s v="Dr. Gupta"/>
    <n v="12407"/>
    <x v="1"/>
    <x v="1"/>
    <x v="0"/>
    <d v="2024-04-18T00:00:00"/>
    <d v="2024-04-19T10:00:00"/>
    <s v="X-Ray"/>
    <s v="Accepted"/>
    <s v="Afternoon"/>
    <n v="8"/>
    <n v="10"/>
    <s v="Plan A"/>
    <x v="13"/>
  </r>
  <r>
    <x v="600"/>
    <x v="78"/>
    <x v="0"/>
    <x v="58"/>
    <d v="2024-03-02T00:00:00"/>
    <x v="12"/>
    <x v="1"/>
    <n v="5"/>
    <s v="Dr. Rao"/>
    <n v="22254"/>
    <x v="3"/>
    <x v="0"/>
    <x v="1"/>
    <d v="2024-01-24T00:00:00"/>
    <d v="2024-01-25T20:00:00"/>
    <s v="CT Scan"/>
    <s v="Accepted"/>
    <s v="Night"/>
    <n v="9"/>
    <n v="12"/>
    <s v="Plan A"/>
    <x v="10"/>
  </r>
  <r>
    <x v="601"/>
    <x v="32"/>
    <x v="2"/>
    <x v="26"/>
    <d v="2023-12-23T00:00:00"/>
    <x v="11"/>
    <x v="0"/>
    <n v="4"/>
    <s v="Dr. Rao"/>
    <n v="20234"/>
    <x v="1"/>
    <x v="1"/>
    <x v="1"/>
    <d v="2023-07-12T00:00:00"/>
    <d v="2023-08-12T05:00:00"/>
    <s v="Ultrasound"/>
    <s v="Accepted"/>
    <s v="Morning"/>
    <n v="8"/>
    <n v="8"/>
    <s v="Plan C"/>
    <x v="14"/>
  </r>
  <r>
    <x v="602"/>
    <x v="84"/>
    <x v="1"/>
    <x v="324"/>
    <d v="2023-01-02T00:00:00"/>
    <x v="2"/>
    <x v="2"/>
    <n v="1"/>
    <s v="Dr. Mehta"/>
    <n v="27211"/>
    <x v="0"/>
    <x v="1"/>
    <x v="0"/>
    <d v="2023-01-30T00:00:00"/>
    <d v="2023-01-30T01:00:00"/>
    <s v="X-Ray"/>
    <s v="Accepted"/>
    <s v="Morning"/>
    <n v="9"/>
    <n v="8"/>
    <s v="Plan C"/>
    <x v="1"/>
  </r>
  <r>
    <x v="603"/>
    <x v="58"/>
    <x v="2"/>
    <x v="289"/>
    <d v="2024-05-26T00:00:00"/>
    <x v="5"/>
    <x v="2"/>
    <n v="4"/>
    <s v="Dr. Mehta"/>
    <n v="34480"/>
    <x v="4"/>
    <x v="1"/>
    <x v="1"/>
    <d v="2024-05-21T00:00:00"/>
    <d v="2024-05-21T01:00:00"/>
    <s v="Ultrasound"/>
    <s v="Accepted"/>
    <s v="Night"/>
    <n v="11"/>
    <n v="10"/>
    <s v="Plan B"/>
    <x v="12"/>
  </r>
  <r>
    <x v="604"/>
    <x v="72"/>
    <x v="5"/>
    <x v="61"/>
    <d v="2023-08-12T00:00:00"/>
    <x v="9"/>
    <x v="5"/>
    <n v="4"/>
    <s v="Dr. Gupta"/>
    <n v="29846"/>
    <x v="1"/>
    <x v="1"/>
    <x v="0"/>
    <d v="2023-11-25T00:00:00"/>
    <d v="2023-11-26T21:00:00"/>
    <s v="CT Scan"/>
    <s v="Accepted"/>
    <s v="Afternoon"/>
    <n v="9"/>
    <n v="8"/>
    <s v="Plan A"/>
    <x v="14"/>
  </r>
  <r>
    <x v="605"/>
    <x v="20"/>
    <x v="0"/>
    <x v="330"/>
    <d v="2023-07-13T00:00:00"/>
    <x v="1"/>
    <x v="1"/>
    <n v="5"/>
    <s v="Dr. Patel"/>
    <n v="47503"/>
    <x v="0"/>
    <x v="1"/>
    <x v="0"/>
    <d v="2023-02-07T00:00:00"/>
    <d v="2023-02-07T22:00:00"/>
    <s v="X-Ray"/>
    <s v="Accepted"/>
    <s v="Afternoon"/>
    <n v="10"/>
    <n v="12"/>
    <s v="Plan C"/>
    <x v="8"/>
  </r>
  <r>
    <x v="606"/>
    <x v="83"/>
    <x v="5"/>
    <x v="322"/>
    <d v="2024-05-25T00:00:00"/>
    <x v="0"/>
    <x v="5"/>
    <n v="4"/>
    <s v="Dr. Mehta"/>
    <n v="20321"/>
    <x v="1"/>
    <x v="1"/>
    <x v="0"/>
    <d v="2024-05-13T00:00:00"/>
    <d v="2024-05-13T08:00:00"/>
    <s v="X-Ray"/>
    <s v="Accepted"/>
    <s v="Morning"/>
    <n v="10"/>
    <n v="12"/>
    <s v="Plan A"/>
    <x v="12"/>
  </r>
  <r>
    <x v="607"/>
    <x v="2"/>
    <x v="3"/>
    <x v="70"/>
    <d v="2023-08-19T00:00:00"/>
    <x v="14"/>
    <x v="2"/>
    <n v="2"/>
    <s v="Dr. Sharma"/>
    <n v="17646"/>
    <x v="3"/>
    <x v="1"/>
    <x v="0"/>
    <d v="2023-02-08T00:00:00"/>
    <d v="2023-03-08T04:00:00"/>
    <s v="CT Scan"/>
    <s v="Accepted"/>
    <s v="Night"/>
    <n v="8"/>
    <n v="8"/>
    <s v="Plan B"/>
    <x v="8"/>
  </r>
  <r>
    <x v="608"/>
    <x v="3"/>
    <x v="4"/>
    <x v="51"/>
    <d v="2024-05-01T00:00:00"/>
    <x v="10"/>
    <x v="3"/>
    <n v="4"/>
    <s v="Dr. Rao"/>
    <n v="27117"/>
    <x v="3"/>
    <x v="0"/>
    <x v="0"/>
    <d v="2023-12-26T00:00:00"/>
    <d v="2023-12-27T21:00:00"/>
    <s v="CT Scan"/>
    <s v="Accepted"/>
    <s v="Night"/>
    <n v="5"/>
    <n v="8"/>
    <s v="Plan C"/>
    <x v="9"/>
  </r>
  <r>
    <x v="609"/>
    <x v="32"/>
    <x v="4"/>
    <x v="359"/>
    <d v="2023-06-10T00:00:00"/>
    <x v="13"/>
    <x v="2"/>
    <n v="5"/>
    <s v="Dr. Sharma"/>
    <n v="9893"/>
    <x v="3"/>
    <x v="1"/>
    <x v="0"/>
    <d v="2023-09-21T00:00:00"/>
    <d v="2023-09-21T09:00:00"/>
    <s v="CT Scan"/>
    <s v="Accepted"/>
    <s v="Afternoon"/>
    <n v="11"/>
    <n v="12"/>
    <s v="Plan C"/>
    <x v="2"/>
  </r>
  <r>
    <x v="610"/>
    <x v="60"/>
    <x v="2"/>
    <x v="23"/>
    <d v="2023-12-18T00:00:00"/>
    <x v="3"/>
    <x v="5"/>
    <n v="5"/>
    <s v="Dr. Rao"/>
    <n v="14476"/>
    <x v="3"/>
    <x v="0"/>
    <x v="0"/>
    <d v="2023-12-14T00:00:00"/>
    <d v="2023-12-15T07:00:00"/>
    <s v="Ultrasound"/>
    <s v="Accepted"/>
    <s v="Afternoon"/>
    <n v="7"/>
    <n v="8"/>
    <s v="Plan C"/>
    <x v="9"/>
  </r>
  <r>
    <x v="611"/>
    <x v="10"/>
    <x v="1"/>
    <x v="360"/>
    <d v="2023-10-25T00:00:00"/>
    <x v="0"/>
    <x v="1"/>
    <n v="5"/>
    <s v="Dr. Rao"/>
    <n v="22270"/>
    <x v="2"/>
    <x v="1"/>
    <x v="0"/>
    <d v="2023-12-10T00:00:00"/>
    <d v="2023-12-10T05:00:00"/>
    <s v="CT Scan"/>
    <s v="Rejected"/>
    <s v="Night"/>
    <n v="10"/>
    <n v="10"/>
    <s v="Plan A"/>
    <x v="15"/>
  </r>
  <r>
    <x v="612"/>
    <x v="70"/>
    <x v="5"/>
    <x v="361"/>
    <d v="2023-10-22T00:00:00"/>
    <x v="11"/>
    <x v="0"/>
    <n v="1"/>
    <s v="Dr. Mehta"/>
    <n v="26702"/>
    <x v="0"/>
    <x v="1"/>
    <x v="0"/>
    <d v="2023-06-10T00:00:00"/>
    <d v="2023-06-10T15:00:00"/>
    <s v="Ultrasound"/>
    <s v="Accepted"/>
    <s v="Morning"/>
    <n v="11"/>
    <n v="8"/>
    <s v="Plan B"/>
    <x v="15"/>
  </r>
  <r>
    <x v="613"/>
    <x v="26"/>
    <x v="1"/>
    <x v="362"/>
    <d v="2023-01-25T00:00:00"/>
    <x v="13"/>
    <x v="0"/>
    <n v="2"/>
    <s v="Dr. Mehta"/>
    <n v="9382"/>
    <x v="0"/>
    <x v="0"/>
    <x v="0"/>
    <d v="2023-08-01T00:00:00"/>
    <d v="2023-09-01T01:00:00"/>
    <s v="MRI"/>
    <s v="Accepted"/>
    <s v="Afternoon"/>
    <n v="10"/>
    <n v="10"/>
    <s v="Plan A"/>
    <x v="14"/>
  </r>
  <r>
    <x v="614"/>
    <x v="48"/>
    <x v="2"/>
    <x v="125"/>
    <d v="2024-06-25T00:00:00"/>
    <x v="11"/>
    <x v="1"/>
    <n v="1"/>
    <s v="Dr. Sharma"/>
    <n v="6785"/>
    <x v="3"/>
    <x v="0"/>
    <x v="0"/>
    <d v="2024-06-13T00:00:00"/>
    <d v="2024-06-13T06:00:00"/>
    <s v="X-Ray"/>
    <s v="Accepted"/>
    <s v="Night"/>
    <n v="10"/>
    <n v="8"/>
    <s v="Plan C"/>
    <x v="17"/>
  </r>
  <r>
    <x v="615"/>
    <x v="86"/>
    <x v="4"/>
    <x v="363"/>
    <d v="2023-07-26T00:00:00"/>
    <x v="0"/>
    <x v="0"/>
    <n v="3"/>
    <s v="Dr. Rao"/>
    <n v="16735"/>
    <x v="2"/>
    <x v="1"/>
    <x v="0"/>
    <d v="2023-10-07T00:00:00"/>
    <d v="2023-11-07T23:00:00"/>
    <s v="X-Ray"/>
    <s v="Accepted"/>
    <s v="Night"/>
    <n v="6"/>
    <n v="8"/>
    <s v="Plan B"/>
    <x v="11"/>
  </r>
  <r>
    <x v="616"/>
    <x v="77"/>
    <x v="1"/>
    <x v="113"/>
    <d v="2023-04-13T00:00:00"/>
    <x v="8"/>
    <x v="0"/>
    <n v="2"/>
    <s v="Dr. Sharma"/>
    <n v="35177"/>
    <x v="3"/>
    <x v="0"/>
    <x v="0"/>
    <d v="2023-03-28T00:00:00"/>
    <d v="2023-03-28T07:00:00"/>
    <s v="Blood Test"/>
    <s v="Accepted"/>
    <s v="Night"/>
    <n v="8"/>
    <n v="12"/>
    <s v="Plan C"/>
    <x v="5"/>
  </r>
  <r>
    <x v="617"/>
    <x v="18"/>
    <x v="1"/>
    <x v="364"/>
    <d v="2023-09-14T00:00:00"/>
    <x v="9"/>
    <x v="5"/>
    <n v="4"/>
    <s v="Dr. Patel"/>
    <n v="35712"/>
    <x v="2"/>
    <x v="0"/>
    <x v="0"/>
    <d v="2023-08-31T00:00:00"/>
    <d v="2023-08-31T07:00:00"/>
    <s v="MRI"/>
    <s v="Accepted"/>
    <s v="Morning"/>
    <n v="8"/>
    <n v="10"/>
    <s v="Plan C"/>
    <x v="4"/>
  </r>
  <r>
    <x v="618"/>
    <x v="15"/>
    <x v="4"/>
    <x v="145"/>
    <d v="2024-02-23T00:00:00"/>
    <x v="2"/>
    <x v="1"/>
    <n v="5"/>
    <s v="Dr. Sharma"/>
    <n v="21679"/>
    <x v="3"/>
    <x v="0"/>
    <x v="0"/>
    <d v="2024-02-17T00:00:00"/>
    <d v="2024-02-17T21:00:00"/>
    <s v="CT Scan"/>
    <s v="Rejected"/>
    <s v="Afternoon"/>
    <n v="10"/>
    <n v="12"/>
    <s v="Plan A"/>
    <x v="19"/>
  </r>
  <r>
    <x v="619"/>
    <x v="46"/>
    <x v="5"/>
    <x v="106"/>
    <d v="2024-05-26T00:00:00"/>
    <x v="0"/>
    <x v="4"/>
    <n v="3"/>
    <s v="Dr. Gupta"/>
    <n v="48013"/>
    <x v="4"/>
    <x v="1"/>
    <x v="0"/>
    <d v="2024-12-05T00:00:00"/>
    <d v="2024-05-13T00:00:00"/>
    <s v="CT Scan"/>
    <s v="Accepted"/>
    <s v="Afternoon"/>
    <n v="6"/>
    <n v="8"/>
    <s v="Plan C"/>
    <x v="12"/>
  </r>
  <r>
    <x v="620"/>
    <x v="20"/>
    <x v="4"/>
    <x v="112"/>
    <d v="2023-09-15T00:00:00"/>
    <x v="0"/>
    <x v="3"/>
    <n v="2"/>
    <s v="Dr. Sharma"/>
    <n v="40365"/>
    <x v="4"/>
    <x v="1"/>
    <x v="0"/>
    <d v="2023-04-09T00:00:00"/>
    <d v="2023-04-09T20:00:00"/>
    <s v="MRI"/>
    <s v="Accepted"/>
    <s v="Afternoon"/>
    <n v="10"/>
    <n v="12"/>
    <s v="Plan B"/>
    <x v="0"/>
  </r>
  <r>
    <x v="621"/>
    <x v="39"/>
    <x v="1"/>
    <x v="365"/>
    <d v="2024-09-05T00:00:00"/>
    <x v="1"/>
    <x v="3"/>
    <n v="1"/>
    <s v="Dr. Gupta"/>
    <n v="22064"/>
    <x v="1"/>
    <x v="1"/>
    <x v="0"/>
    <d v="2024-04-28T00:00:00"/>
    <d v="2024-04-28T09:00:00"/>
    <s v="CT Scan"/>
    <s v="Accepted"/>
    <s v="Morning"/>
    <n v="7"/>
    <n v="8"/>
    <s v="Plan C"/>
    <x v="19"/>
  </r>
  <r>
    <x v="622"/>
    <x v="58"/>
    <x v="5"/>
    <x v="366"/>
    <d v="2024-05-26T00:00:00"/>
    <x v="9"/>
    <x v="0"/>
    <n v="5"/>
    <s v="Dr. Gupta"/>
    <n v="35563"/>
    <x v="3"/>
    <x v="0"/>
    <x v="0"/>
    <d v="2024-05-14T00:00:00"/>
    <d v="2024-05-15T01:00:00"/>
    <s v="Blood Test"/>
    <s v="Rejected"/>
    <s v="Afternoon"/>
    <n v="6"/>
    <n v="8"/>
    <s v="Plan C"/>
    <x v="12"/>
  </r>
  <r>
    <x v="623"/>
    <x v="73"/>
    <x v="5"/>
    <x v="367"/>
    <d v="2024-09-04T00:00:00"/>
    <x v="10"/>
    <x v="3"/>
    <n v="1"/>
    <s v="Dr. Gupta"/>
    <n v="38092"/>
    <x v="0"/>
    <x v="1"/>
    <x v="0"/>
    <d v="2024-03-04T00:00:00"/>
    <d v="2024-03-04T09:00:00"/>
    <s v="Ultrasound"/>
    <s v="Accepted"/>
    <s v="Afternoon"/>
    <n v="10"/>
    <n v="8"/>
    <s v="Plan A"/>
    <x v="16"/>
  </r>
  <r>
    <x v="624"/>
    <x v="58"/>
    <x v="4"/>
    <x v="368"/>
    <d v="2023-01-19T00:00:00"/>
    <x v="4"/>
    <x v="1"/>
    <n v="2"/>
    <s v="Dr. Patel"/>
    <n v="31867"/>
    <x v="1"/>
    <x v="0"/>
    <x v="0"/>
    <d v="2023-01-15T00:00:00"/>
    <d v="2023-01-16T18:00:00"/>
    <s v="X-Ray"/>
    <s v="Accepted"/>
    <s v="Afternoon"/>
    <n v="9"/>
    <n v="10"/>
    <s v="Plan B"/>
    <x v="1"/>
  </r>
  <r>
    <x v="625"/>
    <x v="3"/>
    <x v="1"/>
    <x v="11"/>
    <d v="2023-12-04T00:00:00"/>
    <x v="10"/>
    <x v="1"/>
    <n v="2"/>
    <s v="Dr. Sharma"/>
    <n v="38754"/>
    <x v="4"/>
    <x v="1"/>
    <x v="0"/>
    <d v="2023-05-04T00:00:00"/>
    <d v="2023-06-04T20:00:00"/>
    <s v="MRI"/>
    <s v="Accepted"/>
    <s v="Afternoon"/>
    <n v="5"/>
    <n v="10"/>
    <s v="Plan A"/>
    <x v="8"/>
  </r>
  <r>
    <x v="626"/>
    <x v="27"/>
    <x v="2"/>
    <x v="369"/>
    <d v="2023-03-11T00:00:00"/>
    <x v="5"/>
    <x v="2"/>
    <n v="3"/>
    <s v="Dr. Sharma"/>
    <n v="24502"/>
    <x v="3"/>
    <x v="1"/>
    <x v="0"/>
    <d v="2023-10-25T00:00:00"/>
    <d v="2023-10-25T10:00:00"/>
    <s v="X-Ray"/>
    <s v="Accepted"/>
    <s v="Morning"/>
    <n v="9"/>
    <n v="10"/>
    <s v="Plan C"/>
    <x v="15"/>
  </r>
  <r>
    <x v="627"/>
    <x v="4"/>
    <x v="1"/>
    <x v="370"/>
    <d v="2023-08-18T00:00:00"/>
    <x v="3"/>
    <x v="2"/>
    <n v="4"/>
    <s v="Dr. Patel"/>
    <n v="5760"/>
    <x v="1"/>
    <x v="1"/>
    <x v="1"/>
    <d v="2023-12-08T00:00:00"/>
    <d v="2023-12-08T05:00:00"/>
    <s v="Ultrasound"/>
    <s v="Accepted"/>
    <s v="Night"/>
    <n v="5"/>
    <n v="12"/>
    <s v="Plan A"/>
    <x v="3"/>
  </r>
  <r>
    <x v="628"/>
    <x v="25"/>
    <x v="0"/>
    <x v="325"/>
    <d v="2024-02-23T00:00:00"/>
    <x v="7"/>
    <x v="3"/>
    <n v="1"/>
    <s v="Dr. Rao"/>
    <n v="29142"/>
    <x v="3"/>
    <x v="0"/>
    <x v="0"/>
    <d v="2024-02-16T00:00:00"/>
    <d v="2024-02-17T10:00:00"/>
    <s v="MRI"/>
    <s v="Accepted"/>
    <s v="Night"/>
    <n v="6"/>
    <n v="8"/>
    <s v="Plan A"/>
    <x v="19"/>
  </r>
  <r>
    <x v="629"/>
    <x v="53"/>
    <x v="3"/>
    <x v="290"/>
    <d v="2023-09-13T00:00:00"/>
    <x v="10"/>
    <x v="4"/>
    <n v="3"/>
    <s v="Dr. Mehta"/>
    <n v="49653"/>
    <x v="4"/>
    <x v="1"/>
    <x v="0"/>
    <d v="2023-03-09T00:00:00"/>
    <d v="2023-04-09T13:00:00"/>
    <s v="Ultrasound"/>
    <s v="Accepted"/>
    <s v="Afternoon"/>
    <n v="9"/>
    <n v="12"/>
    <s v="Plan A"/>
    <x v="11"/>
  </r>
  <r>
    <x v="630"/>
    <x v="7"/>
    <x v="2"/>
    <x v="371"/>
    <d v="2023-11-23T00:00:00"/>
    <x v="14"/>
    <x v="2"/>
    <n v="5"/>
    <s v="Dr. Sharma"/>
    <n v="46996"/>
    <x v="1"/>
    <x v="0"/>
    <x v="0"/>
    <d v="2023-10-11T00:00:00"/>
    <d v="2023-10-11T01:00:00"/>
    <s v="CT Scan"/>
    <s v="Accepted"/>
    <s v="Afternoon"/>
    <n v="7"/>
    <n v="12"/>
    <s v="Plan A"/>
    <x v="15"/>
  </r>
  <r>
    <x v="631"/>
    <x v="44"/>
    <x v="5"/>
    <x v="342"/>
    <d v="2024-01-21T00:00:00"/>
    <x v="6"/>
    <x v="2"/>
    <n v="4"/>
    <s v="Dr. Mehta"/>
    <n v="22290"/>
    <x v="4"/>
    <x v="1"/>
    <x v="0"/>
    <d v="2024-09-01T00:00:00"/>
    <d v="2024-10-01T16:00:00"/>
    <s v="CT Scan"/>
    <s v="Accepted"/>
    <s v="Afternoon"/>
    <n v="11"/>
    <n v="8"/>
    <s v="Plan C"/>
    <x v="10"/>
  </r>
  <r>
    <x v="632"/>
    <x v="78"/>
    <x v="2"/>
    <x v="143"/>
    <d v="2024-03-05T00:00:00"/>
    <x v="7"/>
    <x v="1"/>
    <n v="3"/>
    <s v="Dr. Patel"/>
    <n v="10499"/>
    <x v="2"/>
    <x v="0"/>
    <x v="0"/>
    <d v="2024-04-26T00:00:00"/>
    <d v="2024-04-27T18:00:00"/>
    <s v="CT Scan"/>
    <s v="Accepted"/>
    <s v="Morning"/>
    <n v="9"/>
    <n v="12"/>
    <s v="Plan C"/>
    <x v="13"/>
  </r>
  <r>
    <x v="633"/>
    <x v="83"/>
    <x v="5"/>
    <x v="31"/>
    <d v="2023-12-23T00:00:00"/>
    <x v="7"/>
    <x v="4"/>
    <n v="1"/>
    <s v="Dr. Rao"/>
    <n v="5364"/>
    <x v="4"/>
    <x v="0"/>
    <x v="0"/>
    <d v="2023-12-14T00:00:00"/>
    <d v="2023-12-14T11:00:00"/>
    <s v="Ultrasound"/>
    <s v="Accepted"/>
    <s v="Afternoon"/>
    <n v="8"/>
    <n v="8"/>
    <s v="Plan B"/>
    <x v="9"/>
  </r>
  <r>
    <x v="634"/>
    <x v="75"/>
    <x v="5"/>
    <x v="292"/>
    <d v="2024-03-14T00:00:00"/>
    <x v="3"/>
    <x v="0"/>
    <n v="2"/>
    <s v="Dr. Rao"/>
    <n v="24797"/>
    <x v="3"/>
    <x v="0"/>
    <x v="1"/>
    <d v="2024-09-03T00:00:00"/>
    <d v="2024-10-03T05:00:00"/>
    <s v="Ultrasound"/>
    <s v="Rejected"/>
    <s v="Morning"/>
    <n v="11"/>
    <n v="8"/>
    <s v="Plan A"/>
    <x v="23"/>
  </r>
  <r>
    <x v="635"/>
    <x v="33"/>
    <x v="2"/>
    <x v="137"/>
    <d v="2023-08-12T00:00:00"/>
    <x v="3"/>
    <x v="3"/>
    <n v="5"/>
    <s v="Dr. Rao"/>
    <n v="45795"/>
    <x v="0"/>
    <x v="0"/>
    <x v="0"/>
    <d v="2023-11-30T00:00:00"/>
    <d v="2023-11-30T23:00:00"/>
    <s v="Ultrasound"/>
    <s v="Accepted"/>
    <s v="Afternoon"/>
    <n v="11"/>
    <n v="8"/>
    <s v="Plan A"/>
    <x v="4"/>
  </r>
  <r>
    <x v="636"/>
    <x v="27"/>
    <x v="5"/>
    <x v="321"/>
    <d v="2023-12-29T00:00:00"/>
    <x v="2"/>
    <x v="2"/>
    <n v="1"/>
    <s v="Dr. Patel"/>
    <n v="37535"/>
    <x v="4"/>
    <x v="1"/>
    <x v="0"/>
    <d v="2023-12-27T00:00:00"/>
    <d v="2023-12-28T23:00:00"/>
    <s v="X-Ray"/>
    <s v="Accepted"/>
    <s v="Afternoon"/>
    <n v="5"/>
    <n v="8"/>
    <s v="Plan B"/>
    <x v="9"/>
  </r>
  <r>
    <x v="637"/>
    <x v="22"/>
    <x v="5"/>
    <x v="47"/>
    <d v="2024-04-14T00:00:00"/>
    <x v="5"/>
    <x v="4"/>
    <n v="4"/>
    <s v="Dr. Gupta"/>
    <n v="21105"/>
    <x v="0"/>
    <x v="1"/>
    <x v="1"/>
    <d v="2024-06-04T00:00:00"/>
    <d v="2024-06-04T14:00:00"/>
    <s v="Ultrasound"/>
    <s v="Accepted"/>
    <s v="Night"/>
    <n v="5"/>
    <n v="12"/>
    <s v="Plan A"/>
    <x v="18"/>
  </r>
  <r>
    <x v="638"/>
    <x v="35"/>
    <x v="0"/>
    <x v="372"/>
    <d v="2023-10-19T00:00:00"/>
    <x v="13"/>
    <x v="4"/>
    <n v="4"/>
    <s v="Dr. Gupta"/>
    <n v="12939"/>
    <x v="2"/>
    <x v="1"/>
    <x v="1"/>
    <d v="2023-03-10T00:00:00"/>
    <d v="2023-04-10T17:00:00"/>
    <s v="CT Scan"/>
    <s v="Accepted"/>
    <s v="Afternoon"/>
    <n v="10"/>
    <n v="12"/>
    <s v="Plan B"/>
    <x v="4"/>
  </r>
  <r>
    <x v="639"/>
    <x v="1"/>
    <x v="1"/>
    <x v="371"/>
    <d v="2023-11-23T00:00:00"/>
    <x v="14"/>
    <x v="3"/>
    <n v="2"/>
    <s v="Dr. Mehta"/>
    <n v="18936"/>
    <x v="1"/>
    <x v="1"/>
    <x v="0"/>
    <d v="2023-10-11T00:00:00"/>
    <d v="2023-12-11T00:00:00"/>
    <s v="Blood Test"/>
    <s v="Accepted"/>
    <s v="Morning"/>
    <n v="7"/>
    <n v="12"/>
    <s v="Plan C"/>
    <x v="15"/>
  </r>
  <r>
    <x v="640"/>
    <x v="85"/>
    <x v="1"/>
    <x v="91"/>
    <d v="2023-09-17T00:00:00"/>
    <x v="2"/>
    <x v="4"/>
    <n v="2"/>
    <s v="Dr. Gupta"/>
    <n v="47029"/>
    <x v="1"/>
    <x v="0"/>
    <x v="0"/>
    <d v="2023-10-09T00:00:00"/>
    <d v="2023-10-09T10:00:00"/>
    <s v="Ultrasound"/>
    <s v="Accepted"/>
    <s v="Night"/>
    <n v="5"/>
    <n v="10"/>
    <s v="Plan B"/>
    <x v="2"/>
  </r>
  <r>
    <x v="641"/>
    <x v="60"/>
    <x v="3"/>
    <x v="312"/>
    <d v="2023-03-09T00:00:00"/>
    <x v="9"/>
    <x v="4"/>
    <n v="5"/>
    <s v="Dr. Gupta"/>
    <n v="20863"/>
    <x v="0"/>
    <x v="1"/>
    <x v="1"/>
    <d v="2023-08-24T00:00:00"/>
    <d v="2023-08-25T03:00:00"/>
    <s v="Blood Test"/>
    <s v="Accepted"/>
    <s v="Morning"/>
    <n v="5"/>
    <n v="12"/>
    <s v="Plan A"/>
    <x v="3"/>
  </r>
  <r>
    <x v="642"/>
    <x v="47"/>
    <x v="3"/>
    <x v="127"/>
    <d v="2023-05-17T00:00:00"/>
    <x v="14"/>
    <x v="4"/>
    <n v="5"/>
    <s v="Dr. Rao"/>
    <n v="17561"/>
    <x v="1"/>
    <x v="1"/>
    <x v="0"/>
    <d v="2023-04-30T00:00:00"/>
    <d v="2023-01-05T16:00:00"/>
    <s v="CT Scan"/>
    <s v="Accepted"/>
    <s v="Night"/>
    <n v="10"/>
    <n v="12"/>
    <s v="Plan B"/>
    <x v="0"/>
  </r>
  <r>
    <x v="643"/>
    <x v="10"/>
    <x v="0"/>
    <x v="250"/>
    <d v="2023-07-26T00:00:00"/>
    <x v="9"/>
    <x v="2"/>
    <n v="2"/>
    <s v="Dr. Rao"/>
    <n v="15447"/>
    <x v="4"/>
    <x v="1"/>
    <x v="0"/>
    <d v="2023-07-17T00:00:00"/>
    <d v="2023-07-18T20:00:00"/>
    <s v="Ultrasound"/>
    <s v="Accepted"/>
    <s v="Morning"/>
    <n v="7"/>
    <n v="10"/>
    <s v="Plan C"/>
    <x v="11"/>
  </r>
  <r>
    <x v="644"/>
    <x v="82"/>
    <x v="3"/>
    <x v="64"/>
    <d v="2023-04-12T00:00:00"/>
    <x v="13"/>
    <x v="3"/>
    <n v="2"/>
    <s v="Dr. Mehta"/>
    <n v="35624"/>
    <x v="0"/>
    <x v="1"/>
    <x v="0"/>
    <d v="2023-11-20T00:00:00"/>
    <d v="2023-11-21T05:00:00"/>
    <s v="X-Ray"/>
    <s v="Accepted"/>
    <s v="Night"/>
    <n v="9"/>
    <n v="8"/>
    <s v="Plan A"/>
    <x v="14"/>
  </r>
  <r>
    <x v="645"/>
    <x v="6"/>
    <x v="2"/>
    <x v="188"/>
    <d v="2023-05-15T00:00:00"/>
    <x v="11"/>
    <x v="4"/>
    <n v="4"/>
    <s v="Dr. Sharma"/>
    <n v="49646"/>
    <x v="3"/>
    <x v="1"/>
    <x v="0"/>
    <d v="2023-04-30T00:00:00"/>
    <d v="2023-04-30T14:00:00"/>
    <s v="X-Ray"/>
    <s v="Accepted"/>
    <s v="Morning"/>
    <n v="6"/>
    <n v="8"/>
    <s v="Plan C"/>
    <x v="5"/>
  </r>
  <r>
    <x v="646"/>
    <x v="75"/>
    <x v="4"/>
    <x v="373"/>
    <d v="2023-07-24T00:00:00"/>
    <x v="8"/>
    <x v="4"/>
    <n v="2"/>
    <s v="Dr. Mehta"/>
    <n v="17411"/>
    <x v="4"/>
    <x v="0"/>
    <x v="0"/>
    <d v="2023-07-07T00:00:00"/>
    <d v="2023-07-07T06:00:00"/>
    <s v="Blood Test"/>
    <s v="Accepted"/>
    <s v="Morning"/>
    <n v="9"/>
    <n v="8"/>
    <s v="Plan C"/>
    <x v="2"/>
  </r>
  <r>
    <x v="647"/>
    <x v="7"/>
    <x v="4"/>
    <x v="40"/>
    <d v="2023-07-25T00:00:00"/>
    <x v="9"/>
    <x v="2"/>
    <n v="3"/>
    <s v="Dr. Mehta"/>
    <n v="24465"/>
    <x v="4"/>
    <x v="1"/>
    <x v="0"/>
    <d v="2023-11-07T00:00:00"/>
    <d v="2023-11-07T07:00:00"/>
    <s v="X-Ray"/>
    <s v="Rejected"/>
    <s v="Afternoon"/>
    <n v="8"/>
    <n v="10"/>
    <s v="Plan B"/>
    <x v="11"/>
  </r>
  <r>
    <x v="648"/>
    <x v="64"/>
    <x v="4"/>
    <x v="374"/>
    <d v="2023-11-08T00:00:00"/>
    <x v="4"/>
    <x v="3"/>
    <n v="1"/>
    <s v="Dr. Patel"/>
    <n v="43216"/>
    <x v="4"/>
    <x v="1"/>
    <x v="0"/>
    <d v="2023-10-08T00:00:00"/>
    <d v="2023-10-08T09:00:00"/>
    <s v="X-Ray"/>
    <s v="Accepted"/>
    <s v="Night"/>
    <n v="8"/>
    <n v="12"/>
    <s v="Plan C"/>
    <x v="15"/>
  </r>
  <r>
    <x v="649"/>
    <x v="50"/>
    <x v="0"/>
    <x v="354"/>
    <d v="2024-05-21T00:00:00"/>
    <x v="0"/>
    <x v="1"/>
    <n v="2"/>
    <s v="Dr. Patel"/>
    <n v="24642"/>
    <x v="3"/>
    <x v="1"/>
    <x v="0"/>
    <d v="2024-06-05T00:00:00"/>
    <d v="2024-06-05T08:00:00"/>
    <s v="X-Ray"/>
    <s v="Accepted"/>
    <s v="Night"/>
    <n v="5"/>
    <n v="12"/>
    <s v="Plan A"/>
    <x v="20"/>
  </r>
  <r>
    <x v="650"/>
    <x v="82"/>
    <x v="0"/>
    <x v="219"/>
    <d v="2023-10-17T00:00:00"/>
    <x v="10"/>
    <x v="2"/>
    <n v="5"/>
    <s v="Dr. Mehta"/>
    <n v="36262"/>
    <x v="2"/>
    <x v="0"/>
    <x v="1"/>
    <d v="2023-11-10T00:00:00"/>
    <d v="2023-12-10T14:00:00"/>
    <s v="CT Scan"/>
    <s v="Accepted"/>
    <s v="Afternoon"/>
    <n v="11"/>
    <n v="12"/>
    <s v="Plan C"/>
    <x v="14"/>
  </r>
  <r>
    <x v="651"/>
    <x v="2"/>
    <x v="5"/>
    <x v="375"/>
    <d v="2024-06-07T00:00:00"/>
    <x v="8"/>
    <x v="3"/>
    <n v="3"/>
    <s v="Dr. Mehta"/>
    <n v="35363"/>
    <x v="1"/>
    <x v="1"/>
    <x v="0"/>
    <d v="2024-06-21T00:00:00"/>
    <d v="2024-06-22T23:00:00"/>
    <s v="X-Ray"/>
    <s v="Accepted"/>
    <s v="Morning"/>
    <n v="8"/>
    <n v="12"/>
    <s v="Plan C"/>
    <x v="17"/>
  </r>
  <r>
    <x v="652"/>
    <x v="19"/>
    <x v="4"/>
    <x v="376"/>
    <d v="2023-10-30T00:00:00"/>
    <x v="14"/>
    <x v="4"/>
    <n v="5"/>
    <s v="Dr. Mehta"/>
    <n v="7107"/>
    <x v="0"/>
    <x v="0"/>
    <x v="1"/>
    <d v="2023-10-14T00:00:00"/>
    <d v="2023-10-15T01:00:00"/>
    <s v="MRI"/>
    <s v="Accepted"/>
    <s v="Morning"/>
    <n v="6"/>
    <n v="10"/>
    <s v="Plan B"/>
    <x v="15"/>
  </r>
  <r>
    <x v="653"/>
    <x v="9"/>
    <x v="2"/>
    <x v="200"/>
    <d v="2023-04-23T00:00:00"/>
    <x v="12"/>
    <x v="3"/>
    <n v="3"/>
    <s v="Dr. Gupta"/>
    <n v="12928"/>
    <x v="2"/>
    <x v="1"/>
    <x v="1"/>
    <d v="2023-04-13T00:00:00"/>
    <d v="2023-04-13T23:00:00"/>
    <s v="Ultrasound"/>
    <s v="Accepted"/>
    <s v="Night"/>
    <n v="5"/>
    <n v="12"/>
    <s v="Plan C"/>
    <x v="0"/>
  </r>
  <r>
    <x v="654"/>
    <x v="63"/>
    <x v="3"/>
    <x v="377"/>
    <d v="2023-07-21T00:00:00"/>
    <x v="3"/>
    <x v="3"/>
    <n v="2"/>
    <s v="Dr. Patel"/>
    <n v="24317"/>
    <x v="0"/>
    <x v="1"/>
    <x v="1"/>
    <d v="2023-07-16T00:00:00"/>
    <d v="2023-07-17T04:00:00"/>
    <s v="X-Ray"/>
    <s v="Accepted"/>
    <s v="Morning"/>
    <n v="10"/>
    <n v="8"/>
    <s v="Plan B"/>
    <x v="11"/>
  </r>
  <r>
    <x v="655"/>
    <x v="40"/>
    <x v="2"/>
    <x v="177"/>
    <d v="2023-10-11T00:00:00"/>
    <x v="12"/>
    <x v="0"/>
    <n v="1"/>
    <s v="Dr. Mehta"/>
    <n v="30017"/>
    <x v="1"/>
    <x v="1"/>
    <x v="1"/>
    <d v="2023-10-28T00:00:00"/>
    <d v="2023-10-28T21:00:00"/>
    <s v="X-Ray"/>
    <s v="Accepted"/>
    <s v="Night"/>
    <n v="8"/>
    <n v="10"/>
    <s v="Plan B"/>
    <x v="15"/>
  </r>
  <r>
    <x v="656"/>
    <x v="44"/>
    <x v="3"/>
    <x v="378"/>
    <d v="2023-08-28T00:00:00"/>
    <x v="1"/>
    <x v="3"/>
    <n v="5"/>
    <s v="Dr. Rao"/>
    <n v="18528"/>
    <x v="3"/>
    <x v="1"/>
    <x v="0"/>
    <d v="2023-08-20T00:00:00"/>
    <d v="2023-08-20T09:00:00"/>
    <s v="X-Ray"/>
    <s v="Accepted"/>
    <s v="Night"/>
    <n v="11"/>
    <n v="10"/>
    <s v="Plan A"/>
    <x v="3"/>
  </r>
  <r>
    <x v="657"/>
    <x v="40"/>
    <x v="4"/>
    <x v="379"/>
    <d v="2024-08-01T00:00:00"/>
    <x v="3"/>
    <x v="1"/>
    <n v="3"/>
    <s v="Dr. Rao"/>
    <n v="18313"/>
    <x v="4"/>
    <x v="0"/>
    <x v="1"/>
    <d v="2024-04-01T00:00:00"/>
    <d v="2024-04-01T16:00:00"/>
    <s v="MRI"/>
    <s v="Accepted"/>
    <s v="Morning"/>
    <n v="10"/>
    <n v="8"/>
    <s v="Plan A"/>
    <x v="12"/>
  </r>
  <r>
    <x v="658"/>
    <x v="20"/>
    <x v="4"/>
    <x v="237"/>
    <d v="2023-06-07T00:00:00"/>
    <x v="3"/>
    <x v="3"/>
    <n v="4"/>
    <s v="Dr. Gupta"/>
    <n v="6559"/>
    <x v="4"/>
    <x v="1"/>
    <x v="0"/>
    <d v="2023-06-28T00:00:00"/>
    <d v="2023-06-28T18:00:00"/>
    <s v="X-Ray"/>
    <s v="Accepted"/>
    <s v="Morning"/>
    <n v="4"/>
    <n v="8"/>
    <s v="Plan A"/>
    <x v="5"/>
  </r>
  <r>
    <x v="659"/>
    <x v="17"/>
    <x v="4"/>
    <x v="206"/>
    <d v="2023-09-11T00:00:00"/>
    <x v="3"/>
    <x v="1"/>
    <n v="2"/>
    <s v="Dr. Gupta"/>
    <n v="20167"/>
    <x v="3"/>
    <x v="1"/>
    <x v="0"/>
    <d v="2023-01-11T00:00:00"/>
    <d v="2023-02-11T18:00:00"/>
    <s v="X-Ray"/>
    <s v="Accepted"/>
    <s v="Morning"/>
    <n v="4"/>
    <n v="12"/>
    <s v="Plan A"/>
    <x v="8"/>
  </r>
  <r>
    <x v="660"/>
    <x v="45"/>
    <x v="0"/>
    <x v="380"/>
    <d v="2023-01-29T00:00:00"/>
    <x v="13"/>
    <x v="4"/>
    <n v="1"/>
    <s v="Dr. Sharma"/>
    <n v="20343"/>
    <x v="2"/>
    <x v="0"/>
    <x v="0"/>
    <d v="2023-10-01T00:00:00"/>
    <d v="2023-10-01T06:00:00"/>
    <s v="Ultrasound"/>
    <s v="Accepted"/>
    <s v="Afternoon"/>
    <n v="4"/>
    <n v="8"/>
    <s v="Plan B"/>
    <x v="1"/>
  </r>
  <r>
    <x v="661"/>
    <x v="63"/>
    <x v="3"/>
    <x v="340"/>
    <d v="2023-05-22T00:00:00"/>
    <x v="11"/>
    <x v="1"/>
    <n v="2"/>
    <s v="Dr. Sharma"/>
    <n v="43598"/>
    <x v="2"/>
    <x v="1"/>
    <x v="1"/>
    <d v="2023-07-05T00:00:00"/>
    <d v="2023-07-05T16:00:00"/>
    <s v="MRI"/>
    <s v="Accepted"/>
    <s v="Night"/>
    <n v="10"/>
    <n v="10"/>
    <s v="Plan C"/>
    <x v="15"/>
  </r>
  <r>
    <x v="662"/>
    <x v="56"/>
    <x v="0"/>
    <x v="381"/>
    <d v="2023-10-21T00:00:00"/>
    <x v="14"/>
    <x v="4"/>
    <n v="4"/>
    <s v="Dr. Sharma"/>
    <n v="12523"/>
    <x v="0"/>
    <x v="1"/>
    <x v="0"/>
    <d v="2023-06-10T00:00:00"/>
    <d v="2023-07-10T12:00:00"/>
    <s v="MRI"/>
    <s v="Accepted"/>
    <s v="Morning"/>
    <n v="4"/>
    <n v="10"/>
    <s v="Plan A"/>
    <x v="3"/>
  </r>
  <r>
    <x v="663"/>
    <x v="16"/>
    <x v="0"/>
    <x v="42"/>
    <d v="2023-02-26T00:00:00"/>
    <x v="12"/>
    <x v="4"/>
    <n v="1"/>
    <s v="Dr. Gupta"/>
    <n v="33439"/>
    <x v="3"/>
    <x v="0"/>
    <x v="0"/>
    <d v="2023-02-13T00:00:00"/>
    <d v="2023-02-14T15:00:00"/>
    <s v="X-Ray"/>
    <s v="Accepted"/>
    <s v="Afternoon"/>
    <n v="9"/>
    <n v="10"/>
    <s v="Plan A"/>
    <x v="7"/>
  </r>
  <r>
    <x v="664"/>
    <x v="68"/>
    <x v="1"/>
    <x v="152"/>
    <d v="2023-10-03T00:00:00"/>
    <x v="14"/>
    <x v="1"/>
    <n v="4"/>
    <s v="Dr. Gupta"/>
    <n v="20524"/>
    <x v="2"/>
    <x v="1"/>
    <x v="0"/>
    <d v="2023-02-22T00:00:00"/>
    <d v="2023-02-23T15:00:00"/>
    <s v="MRI"/>
    <s v="Accepted"/>
    <s v="Morning"/>
    <n v="4"/>
    <n v="12"/>
    <s v="Plan A"/>
    <x v="7"/>
  </r>
  <r>
    <x v="665"/>
    <x v="48"/>
    <x v="2"/>
    <x v="382"/>
    <d v="2023-11-11T00:00:00"/>
    <x v="8"/>
    <x v="2"/>
    <n v="2"/>
    <s v="Dr. Gupta"/>
    <n v="18285"/>
    <x v="3"/>
    <x v="0"/>
    <x v="0"/>
    <d v="2023-10-24T00:00:00"/>
    <d v="2023-10-25T23:00:00"/>
    <s v="Blood Test"/>
    <s v="Accepted"/>
    <s v="Night"/>
    <n v="5"/>
    <n v="12"/>
    <s v="Plan C"/>
    <x v="15"/>
  </r>
  <r>
    <x v="666"/>
    <x v="80"/>
    <x v="2"/>
    <x v="340"/>
    <d v="2023-05-13T00:00:00"/>
    <x v="3"/>
    <x v="5"/>
    <n v="3"/>
    <s v="Dr. Rao"/>
    <n v="15973"/>
    <x v="1"/>
    <x v="1"/>
    <x v="0"/>
    <d v="2023-07-05T00:00:00"/>
    <d v="2023-08-05T15:00:00"/>
    <s v="MRI"/>
    <s v="Accepted"/>
    <s v="Afternoon"/>
    <n v="7"/>
    <n v="8"/>
    <s v="Plan A"/>
    <x v="15"/>
  </r>
  <r>
    <x v="667"/>
    <x v="31"/>
    <x v="5"/>
    <x v="366"/>
    <d v="2024-05-29T00:00:00"/>
    <x v="11"/>
    <x v="3"/>
    <n v="2"/>
    <s v="Dr. Gupta"/>
    <n v="27694"/>
    <x v="4"/>
    <x v="0"/>
    <x v="0"/>
    <d v="2024-05-17T00:00:00"/>
    <d v="2024-05-17T19:00:00"/>
    <s v="MRI"/>
    <s v="Accepted"/>
    <s v="Night"/>
    <n v="9"/>
    <n v="12"/>
    <s v="Plan C"/>
    <x v="12"/>
  </r>
  <r>
    <x v="668"/>
    <x v="18"/>
    <x v="0"/>
    <x v="234"/>
    <d v="2023-04-24T00:00:00"/>
    <x v="6"/>
    <x v="0"/>
    <n v="2"/>
    <s v="Dr. Rao"/>
    <n v="40774"/>
    <x v="4"/>
    <x v="1"/>
    <x v="0"/>
    <d v="2023-11-04T00:00:00"/>
    <d v="2023-12-04T21:00:00"/>
    <s v="MRI"/>
    <s v="Accepted"/>
    <s v="Morning"/>
    <n v="11"/>
    <n v="12"/>
    <s v="Plan B"/>
    <x v="0"/>
  </r>
  <r>
    <x v="669"/>
    <x v="37"/>
    <x v="3"/>
    <x v="350"/>
    <d v="2023-01-14T00:00:00"/>
    <x v="4"/>
    <x v="5"/>
    <n v="2"/>
    <s v="Dr. Sharma"/>
    <n v="9302"/>
    <x v="4"/>
    <x v="0"/>
    <x v="0"/>
    <d v="2023-08-01T00:00:00"/>
    <d v="2023-08-01T02:00:00"/>
    <s v="CT Scan"/>
    <s v="Accepted"/>
    <s v="Morning"/>
    <n v="7"/>
    <n v="10"/>
    <s v="Plan B"/>
    <x v="1"/>
  </r>
  <r>
    <x v="670"/>
    <x v="70"/>
    <x v="1"/>
    <x v="205"/>
    <d v="2023-10-26T00:00:00"/>
    <x v="1"/>
    <x v="3"/>
    <n v="5"/>
    <s v="Dr. Sharma"/>
    <n v="27391"/>
    <x v="3"/>
    <x v="1"/>
    <x v="1"/>
    <d v="2023-10-15T00:00:00"/>
    <d v="2023-10-16T19:00:00"/>
    <s v="CT Scan"/>
    <s v="Accepted"/>
    <s v="Morning"/>
    <n v="5"/>
    <n v="10"/>
    <s v="Plan B"/>
    <x v="15"/>
  </r>
  <r>
    <x v="671"/>
    <x v="57"/>
    <x v="1"/>
    <x v="383"/>
    <d v="2024-01-05T00:00:00"/>
    <x v="10"/>
    <x v="3"/>
    <n v="4"/>
    <s v="Dr. Sharma"/>
    <n v="9611"/>
    <x v="3"/>
    <x v="0"/>
    <x v="0"/>
    <d v="2024-04-24T00:00:00"/>
    <d v="2024-04-24T20:00:00"/>
    <s v="CT Scan"/>
    <s v="Accepted"/>
    <s v="Afternoon"/>
    <n v="11"/>
    <n v="8"/>
    <s v="Plan C"/>
    <x v="13"/>
  </r>
  <r>
    <x v="672"/>
    <x v="72"/>
    <x v="2"/>
    <x v="384"/>
    <d v="2024-05-16T00:00:00"/>
    <x v="0"/>
    <x v="4"/>
    <n v="4"/>
    <s v="Dr. Mehta"/>
    <n v="14372"/>
    <x v="0"/>
    <x v="1"/>
    <x v="1"/>
    <d v="2024-04-30T00:00:00"/>
    <d v="2024-04-30T14:00:00"/>
    <s v="MRI"/>
    <s v="Accepted"/>
    <s v="Afternoon"/>
    <n v="5"/>
    <n v="10"/>
    <s v="Plan A"/>
    <x v="12"/>
  </r>
  <r>
    <x v="673"/>
    <x v="87"/>
    <x v="0"/>
    <x v="385"/>
    <d v="2024-08-04T00:00:00"/>
    <x v="11"/>
    <x v="3"/>
    <n v="4"/>
    <s v="Dr. Mehta"/>
    <n v="29312"/>
    <x v="4"/>
    <x v="1"/>
    <x v="0"/>
    <d v="2024-03-25T00:00:00"/>
    <d v="2024-03-26T10:00:00"/>
    <s v="Blood Test"/>
    <s v="Accepted"/>
    <s v="Afternoon"/>
    <n v="6"/>
    <n v="12"/>
    <s v="Plan A"/>
    <x v="16"/>
  </r>
  <r>
    <x v="674"/>
    <x v="41"/>
    <x v="5"/>
    <x v="23"/>
    <d v="2023-12-19T00:00:00"/>
    <x v="7"/>
    <x v="0"/>
    <n v="5"/>
    <s v="Dr. Patel"/>
    <n v="19080"/>
    <x v="0"/>
    <x v="1"/>
    <x v="0"/>
    <d v="2023-12-15T00:00:00"/>
    <d v="2023-12-16T15:00:00"/>
    <s v="MRI"/>
    <s v="Accepted"/>
    <s v="Afternoon"/>
    <n v="11"/>
    <n v="8"/>
    <s v="Plan A"/>
    <x v="9"/>
  </r>
  <r>
    <x v="675"/>
    <x v="46"/>
    <x v="0"/>
    <x v="386"/>
    <d v="2023-07-16T00:00:00"/>
    <x v="6"/>
    <x v="3"/>
    <n v="3"/>
    <s v="Dr. Patel"/>
    <n v="20082"/>
    <x v="4"/>
    <x v="0"/>
    <x v="0"/>
    <d v="2023-07-07T00:00:00"/>
    <d v="2023-08-07T09:00:00"/>
    <s v="X-Ray"/>
    <s v="Accepted"/>
    <s v="Morning"/>
    <n v="9"/>
    <n v="8"/>
    <s v="Plan A"/>
    <x v="3"/>
  </r>
  <r>
    <x v="676"/>
    <x v="54"/>
    <x v="4"/>
    <x v="218"/>
    <d v="2023-04-03T00:00:00"/>
    <x v="12"/>
    <x v="1"/>
    <n v="2"/>
    <s v="Dr. Patel"/>
    <n v="47861"/>
    <x v="0"/>
    <x v="0"/>
    <x v="0"/>
    <d v="2023-02-18T00:00:00"/>
    <d v="2023-02-18T13:00:00"/>
    <s v="Blood Test"/>
    <s v="Accepted"/>
    <s v="Morning"/>
    <n v="7"/>
    <n v="10"/>
    <s v="Plan A"/>
    <x v="7"/>
  </r>
  <r>
    <x v="677"/>
    <x v="81"/>
    <x v="0"/>
    <x v="335"/>
    <d v="2023-09-21T00:00:00"/>
    <x v="5"/>
    <x v="5"/>
    <n v="3"/>
    <s v="Dr. Mehta"/>
    <n v="35677"/>
    <x v="0"/>
    <x v="1"/>
    <x v="0"/>
    <d v="2023-09-13T00:00:00"/>
    <d v="2023-09-15T00:00:00"/>
    <s v="CT Scan"/>
    <s v="Accepted"/>
    <s v="Morning"/>
    <n v="4"/>
    <n v="10"/>
    <s v="Plan C"/>
    <x v="2"/>
  </r>
  <r>
    <x v="678"/>
    <x v="27"/>
    <x v="4"/>
    <x v="387"/>
    <d v="2024-05-17T00:00:00"/>
    <x v="14"/>
    <x v="1"/>
    <n v="5"/>
    <s v="Dr. Mehta"/>
    <n v="25874"/>
    <x v="1"/>
    <x v="1"/>
    <x v="0"/>
    <d v="2024-04-30T00:00:00"/>
    <d v="2024-01-05T02:00:00"/>
    <s v="Ultrasound"/>
    <s v="Rejected"/>
    <s v="Afternoon"/>
    <n v="5"/>
    <n v="10"/>
    <s v="Plan B"/>
    <x v="13"/>
  </r>
  <r>
    <x v="679"/>
    <x v="86"/>
    <x v="4"/>
    <x v="388"/>
    <d v="2023-09-05T00:00:00"/>
    <x v="11"/>
    <x v="0"/>
    <n v="4"/>
    <s v="Dr. Patel"/>
    <n v="13378"/>
    <x v="0"/>
    <x v="0"/>
    <x v="0"/>
    <d v="2023-04-26T00:00:00"/>
    <d v="2023-04-26T19:00:00"/>
    <s v="Blood Test"/>
    <s v="Rejected"/>
    <s v="Afternoon"/>
    <n v="4"/>
    <n v="8"/>
    <s v="Plan A"/>
    <x v="0"/>
  </r>
  <r>
    <x v="680"/>
    <x v="74"/>
    <x v="5"/>
    <x v="389"/>
    <d v="2023-03-21T00:00:00"/>
    <x v="14"/>
    <x v="3"/>
    <n v="2"/>
    <s v="Dr. Patel"/>
    <n v="6597"/>
    <x v="3"/>
    <x v="1"/>
    <x v="0"/>
    <d v="2023-03-03T00:00:00"/>
    <d v="2023-04-03T18:00:00"/>
    <s v="CT Scan"/>
    <s v="Accepted"/>
    <s v="Morning"/>
    <n v="11"/>
    <n v="10"/>
    <s v="Plan B"/>
    <x v="3"/>
  </r>
  <r>
    <x v="681"/>
    <x v="88"/>
    <x v="3"/>
    <x v="65"/>
    <d v="2024-02-23T00:00:00"/>
    <x v="6"/>
    <x v="0"/>
    <n v="1"/>
    <s v="Dr. Gupta"/>
    <n v="16600"/>
    <x v="0"/>
    <x v="0"/>
    <x v="1"/>
    <d v="2024-02-14T00:00:00"/>
    <d v="2024-02-14T04:00:00"/>
    <s v="Blood Test"/>
    <s v="Accepted"/>
    <s v="Morning"/>
    <n v="7"/>
    <n v="12"/>
    <s v="Plan C"/>
    <x v="19"/>
  </r>
  <r>
    <x v="682"/>
    <x v="77"/>
    <x v="2"/>
    <x v="390"/>
    <d v="2024-05-22T00:00:00"/>
    <x v="7"/>
    <x v="4"/>
    <n v="1"/>
    <s v="Dr. Patel"/>
    <n v="8747"/>
    <x v="4"/>
    <x v="1"/>
    <x v="0"/>
    <d v="2024-05-18T00:00:00"/>
    <d v="2024-05-18T16:00:00"/>
    <s v="Blood Test"/>
    <s v="Accepted"/>
    <s v="Afternoon"/>
    <n v="10"/>
    <n v="8"/>
    <s v="Plan C"/>
    <x v="12"/>
  </r>
  <r>
    <x v="683"/>
    <x v="14"/>
    <x v="0"/>
    <x v="201"/>
    <d v="2023-03-26T00:00:00"/>
    <x v="9"/>
    <x v="1"/>
    <n v="3"/>
    <s v="Dr. Gupta"/>
    <n v="18879"/>
    <x v="0"/>
    <x v="0"/>
    <x v="0"/>
    <d v="2023-03-17T00:00:00"/>
    <d v="2023-03-18T08:00:00"/>
    <s v="MRI"/>
    <s v="Accepted"/>
    <s v="Night"/>
    <n v="9"/>
    <n v="10"/>
    <s v="Plan A"/>
    <x v="5"/>
  </r>
  <r>
    <x v="684"/>
    <x v="62"/>
    <x v="4"/>
    <x v="391"/>
    <d v="2023-02-28T00:00:00"/>
    <x v="7"/>
    <x v="1"/>
    <n v="4"/>
    <s v="Dr. Rao"/>
    <n v="18017"/>
    <x v="2"/>
    <x v="1"/>
    <x v="1"/>
    <d v="2023-02-22T00:00:00"/>
    <d v="2023-02-23T01:00:00"/>
    <s v="X-Ray"/>
    <s v="Accepted"/>
    <s v="Morning"/>
    <n v="8"/>
    <n v="12"/>
    <s v="Plan C"/>
    <x v="7"/>
  </r>
  <r>
    <x v="685"/>
    <x v="18"/>
    <x v="0"/>
    <x v="392"/>
    <d v="2023-10-06T00:00:00"/>
    <x v="5"/>
    <x v="2"/>
    <n v="1"/>
    <s v="Dr. Mehta"/>
    <n v="29815"/>
    <x v="4"/>
    <x v="1"/>
    <x v="0"/>
    <d v="2023-02-06T00:00:00"/>
    <d v="2023-02-06T08:00:00"/>
    <s v="Ultrasound"/>
    <s v="Rejected"/>
    <s v="Morning"/>
    <n v="10"/>
    <n v="12"/>
    <s v="Plan B"/>
    <x v="4"/>
  </r>
  <r>
    <x v="686"/>
    <x v="59"/>
    <x v="3"/>
    <x v="226"/>
    <d v="2023-06-15T00:00:00"/>
    <x v="14"/>
    <x v="3"/>
    <n v="3"/>
    <s v="Dr. Patel"/>
    <n v="23964"/>
    <x v="2"/>
    <x v="0"/>
    <x v="1"/>
    <d v="2023-05-28T00:00:00"/>
    <d v="2023-05-28T16:00:00"/>
    <s v="CT Scan"/>
    <s v="Accepted"/>
    <s v="Morning"/>
    <n v="11"/>
    <n v="10"/>
    <s v="Plan A"/>
    <x v="7"/>
  </r>
  <r>
    <x v="687"/>
    <x v="33"/>
    <x v="2"/>
    <x v="273"/>
    <d v="2023-11-21T00:00:00"/>
    <x v="14"/>
    <x v="4"/>
    <n v="5"/>
    <s v="Dr. Mehta"/>
    <n v="33812"/>
    <x v="4"/>
    <x v="0"/>
    <x v="0"/>
    <d v="2023-03-11T00:00:00"/>
    <d v="2023-04-11T08:00:00"/>
    <s v="Blood Test"/>
    <s v="Accepted"/>
    <s v="Afternoon"/>
    <n v="11"/>
    <n v="12"/>
    <s v="Plan A"/>
    <x v="3"/>
  </r>
  <r>
    <x v="688"/>
    <x v="22"/>
    <x v="3"/>
    <x v="113"/>
    <d v="2023-06-04T00:00:00"/>
    <x v="6"/>
    <x v="1"/>
    <n v="3"/>
    <s v="Dr. Mehta"/>
    <n v="45200"/>
    <x v="3"/>
    <x v="0"/>
    <x v="0"/>
    <d v="2023-03-25T00:00:00"/>
    <d v="2023-03-26T17:00:00"/>
    <s v="Ultrasound"/>
    <s v="Accepted"/>
    <s v="Morning"/>
    <n v="10"/>
    <n v="8"/>
    <s v="Plan B"/>
    <x v="5"/>
  </r>
  <r>
    <x v="689"/>
    <x v="61"/>
    <x v="2"/>
    <x v="158"/>
    <d v="2023-09-27T00:00:00"/>
    <x v="8"/>
    <x v="1"/>
    <n v="3"/>
    <s v="Dr. Mehta"/>
    <n v="29714"/>
    <x v="3"/>
    <x v="1"/>
    <x v="0"/>
    <d v="2023-09-09T00:00:00"/>
    <d v="2023-10-09T15:00:00"/>
    <s v="Blood Test"/>
    <s v="Accepted"/>
    <s v="Morning"/>
    <n v="8"/>
    <n v="8"/>
    <s v="Plan A"/>
    <x v="9"/>
  </r>
  <r>
    <x v="690"/>
    <x v="53"/>
    <x v="1"/>
    <x v="393"/>
    <d v="2023-05-16T00:00:00"/>
    <x v="13"/>
    <x v="4"/>
    <n v="3"/>
    <s v="Dr. Rao"/>
    <n v="23890"/>
    <x v="3"/>
    <x v="1"/>
    <x v="1"/>
    <d v="2023-04-28T00:00:00"/>
    <d v="2023-04-28T05:00:00"/>
    <s v="X-Ray"/>
    <s v="Rejected"/>
    <s v="Morning"/>
    <n v="11"/>
    <n v="12"/>
    <s v="Plan A"/>
    <x v="7"/>
  </r>
  <r>
    <x v="691"/>
    <x v="55"/>
    <x v="2"/>
    <x v="394"/>
    <d v="2024-06-03T00:00:00"/>
    <x v="7"/>
    <x v="0"/>
    <n v="2"/>
    <s v="Dr. Sharma"/>
    <n v="9725"/>
    <x v="2"/>
    <x v="1"/>
    <x v="1"/>
    <d v="2024-02-28T00:00:00"/>
    <d v="2024-02-29T10:00:00"/>
    <s v="Ultrasound"/>
    <s v="Accepted"/>
    <s v="Morning"/>
    <n v="11"/>
    <n v="8"/>
    <s v="Plan B"/>
    <x v="19"/>
  </r>
  <r>
    <x v="692"/>
    <x v="48"/>
    <x v="5"/>
    <x v="395"/>
    <d v="2023-08-26T00:00:00"/>
    <x v="10"/>
    <x v="0"/>
    <n v="3"/>
    <s v="Dr. Patel"/>
    <n v="48205"/>
    <x v="1"/>
    <x v="0"/>
    <x v="1"/>
    <d v="2023-08-19T00:00:00"/>
    <d v="2023-08-19T01:00:00"/>
    <s v="CT Scan"/>
    <s v="Accepted"/>
    <s v="Morning"/>
    <n v="5"/>
    <n v="10"/>
    <s v="Plan A"/>
    <x v="3"/>
  </r>
  <r>
    <x v="693"/>
    <x v="21"/>
    <x v="3"/>
    <x v="191"/>
    <d v="2024-06-30T00:00:00"/>
    <x v="0"/>
    <x v="3"/>
    <n v="3"/>
    <s v="Dr. Sharma"/>
    <n v="25684"/>
    <x v="4"/>
    <x v="1"/>
    <x v="0"/>
    <d v="2024-06-18T00:00:00"/>
    <d v="2024-06-19T00:00:00"/>
    <s v="Blood Test"/>
    <s v="Accepted"/>
    <s v="Night"/>
    <n v="6"/>
    <n v="12"/>
    <s v="Plan A"/>
    <x v="17"/>
  </r>
  <r>
    <x v="694"/>
    <x v="67"/>
    <x v="4"/>
    <x v="28"/>
    <d v="2024-04-02T00:00:00"/>
    <x v="12"/>
    <x v="2"/>
    <n v="2"/>
    <s v="Dr. Sharma"/>
    <n v="31325"/>
    <x v="3"/>
    <x v="1"/>
    <x v="0"/>
    <d v="2024-01-22T00:00:00"/>
    <d v="2024-01-22T21:00:00"/>
    <s v="X-Ray"/>
    <s v="Accepted"/>
    <s v="Night"/>
    <n v="11"/>
    <n v="8"/>
    <s v="Plan B"/>
    <x v="10"/>
  </r>
  <r>
    <x v="695"/>
    <x v="23"/>
    <x v="1"/>
    <x v="358"/>
    <d v="2024-04-14T00:00:00"/>
    <x v="6"/>
    <x v="1"/>
    <n v="2"/>
    <s v="Dr. Sharma"/>
    <n v="37542"/>
    <x v="4"/>
    <x v="1"/>
    <x v="0"/>
    <d v="2024-04-04T00:00:00"/>
    <d v="2024-04-04T09:00:00"/>
    <s v="Ultrasound"/>
    <s v="Accepted"/>
    <s v="Morning"/>
    <n v="4"/>
    <n v="10"/>
    <s v="Plan C"/>
    <x v="17"/>
  </r>
  <r>
    <x v="696"/>
    <x v="68"/>
    <x v="5"/>
    <x v="163"/>
    <d v="2024-06-04T00:00:00"/>
    <x v="6"/>
    <x v="2"/>
    <n v="5"/>
    <s v="Dr. Mehta"/>
    <n v="18092"/>
    <x v="2"/>
    <x v="1"/>
    <x v="0"/>
    <d v="2024-03-28T00:00:00"/>
    <d v="2024-03-29T01:00:00"/>
    <s v="Blood Test"/>
    <s v="Accepted"/>
    <s v="Morning"/>
    <n v="5"/>
    <n v="10"/>
    <s v="Plan B"/>
    <x v="16"/>
  </r>
  <r>
    <x v="697"/>
    <x v="22"/>
    <x v="0"/>
    <x v="396"/>
    <d v="2023-11-14T00:00:00"/>
    <x v="14"/>
    <x v="0"/>
    <n v="4"/>
    <s v="Dr. Gupta"/>
    <n v="35382"/>
    <x v="1"/>
    <x v="0"/>
    <x v="0"/>
    <d v="2023-10-30T00:00:00"/>
    <d v="2023-10-31T13:00:00"/>
    <s v="Blood Test"/>
    <s v="Accepted"/>
    <s v="Morning"/>
    <n v="6"/>
    <n v="8"/>
    <s v="Plan A"/>
    <x v="1"/>
  </r>
  <r>
    <x v="698"/>
    <x v="70"/>
    <x v="3"/>
    <x v="397"/>
    <d v="2024-03-20T00:00:00"/>
    <x v="5"/>
    <x v="0"/>
    <n v="1"/>
    <s v="Dr. Mehta"/>
    <n v="44770"/>
    <x v="2"/>
    <x v="1"/>
    <x v="0"/>
    <d v="2024-03-14T00:00:00"/>
    <d v="2024-03-15T03:00:00"/>
    <s v="CT Scan"/>
    <s v="Accepted"/>
    <s v="Morning"/>
    <n v="4"/>
    <n v="12"/>
    <s v="Plan B"/>
    <x v="16"/>
  </r>
  <r>
    <x v="699"/>
    <x v="18"/>
    <x v="4"/>
    <x v="248"/>
    <d v="2023-11-22T00:00:00"/>
    <x v="14"/>
    <x v="5"/>
    <n v="1"/>
    <s v="Dr. Mehta"/>
    <n v="30457"/>
    <x v="4"/>
    <x v="1"/>
    <x v="0"/>
    <d v="2023-04-11T00:00:00"/>
    <d v="2023-05-11T00:00:00"/>
    <s v="X-Ray"/>
    <s v="Accepted"/>
    <s v="Afternoon"/>
    <n v="7"/>
    <n v="10"/>
    <s v="Plan A"/>
    <x v="2"/>
  </r>
  <r>
    <x v="700"/>
    <x v="60"/>
    <x v="2"/>
    <x v="398"/>
    <d v="2023-10-03T00:00:00"/>
    <x v="1"/>
    <x v="3"/>
    <n v="3"/>
    <s v="Dr. Sharma"/>
    <n v="11131"/>
    <x v="1"/>
    <x v="1"/>
    <x v="0"/>
    <d v="2023-03-03T00:00:00"/>
    <d v="2023-04-03T11:00:00"/>
    <s v="MRI"/>
    <s v="Accepted"/>
    <s v="Afternoon"/>
    <n v="10"/>
    <n v="10"/>
    <s v="Plan A"/>
    <x v="5"/>
  </r>
  <r>
    <x v="701"/>
    <x v="4"/>
    <x v="4"/>
    <x v="399"/>
    <d v="2023-04-21T00:00:00"/>
    <x v="9"/>
    <x v="5"/>
    <n v="5"/>
    <s v="Dr. Mehta"/>
    <n v="30215"/>
    <x v="1"/>
    <x v="1"/>
    <x v="0"/>
    <d v="2023-12-04T00:00:00"/>
    <d v="2023-04-13T20:00:00"/>
    <s v="Blood Test"/>
    <s v="Accepted"/>
    <s v="Afternoon"/>
    <n v="10"/>
    <n v="10"/>
    <s v="Plan B"/>
    <x v="9"/>
  </r>
  <r>
    <x v="702"/>
    <x v="29"/>
    <x v="0"/>
    <x v="400"/>
    <d v="2023-10-08T00:00:00"/>
    <x v="9"/>
    <x v="5"/>
    <n v="3"/>
    <s v="Dr. Sharma"/>
    <n v="17612"/>
    <x v="2"/>
    <x v="1"/>
    <x v="1"/>
    <d v="2023-07-27T00:00:00"/>
    <d v="2023-07-27T12:00:00"/>
    <s v="Ultrasound"/>
    <s v="Accepted"/>
    <s v="Night"/>
    <n v="8"/>
    <n v="10"/>
    <s v="Plan A"/>
    <x v="1"/>
  </r>
  <r>
    <x v="703"/>
    <x v="46"/>
    <x v="1"/>
    <x v="68"/>
    <d v="2023-12-08T00:00:00"/>
    <x v="1"/>
    <x v="5"/>
    <n v="1"/>
    <s v="Dr. Gupta"/>
    <n v="42305"/>
    <x v="3"/>
    <x v="1"/>
    <x v="1"/>
    <d v="2023-02-08T00:00:00"/>
    <d v="2023-03-08T07:00:00"/>
    <s v="CT Scan"/>
    <s v="Accepted"/>
    <s v="Morning"/>
    <n v="6"/>
    <n v="12"/>
    <s v="Plan C"/>
    <x v="4"/>
  </r>
  <r>
    <x v="704"/>
    <x v="43"/>
    <x v="1"/>
    <x v="32"/>
    <d v="2023-01-10T00:00:00"/>
    <x v="3"/>
    <x v="3"/>
    <n v="2"/>
    <s v="Dr. Patel"/>
    <n v="18091"/>
    <x v="4"/>
    <x v="0"/>
    <x v="0"/>
    <d v="2023-09-24T00:00:00"/>
    <d v="2023-09-24T05:00:00"/>
    <s v="CT Scan"/>
    <s v="Rejected"/>
    <s v="Afternoon"/>
    <n v="4"/>
    <n v="8"/>
    <s v="Plan A"/>
    <x v="2"/>
  </r>
  <r>
    <x v="705"/>
    <x v="81"/>
    <x v="3"/>
    <x v="190"/>
    <d v="2023-08-04T00:00:00"/>
    <x v="13"/>
    <x v="3"/>
    <n v="4"/>
    <s v="Dr. Sharma"/>
    <n v="40103"/>
    <x v="0"/>
    <x v="1"/>
    <x v="1"/>
    <d v="2023-03-25T00:00:00"/>
    <d v="2023-03-25T02:00:00"/>
    <s v="Blood Test"/>
    <s v="Accepted"/>
    <s v="Morning"/>
    <n v="11"/>
    <n v="8"/>
    <s v="Plan B"/>
    <x v="5"/>
  </r>
  <r>
    <x v="706"/>
    <x v="62"/>
    <x v="1"/>
    <x v="401"/>
    <d v="2023-06-14T00:00:00"/>
    <x v="7"/>
    <x v="4"/>
    <n v="5"/>
    <s v="Dr. Gupta"/>
    <n v="42089"/>
    <x v="0"/>
    <x v="1"/>
    <x v="0"/>
    <d v="2023-09-06T00:00:00"/>
    <d v="2023-10-06T14:00:00"/>
    <s v="Blood Test"/>
    <s v="Accepted"/>
    <s v="Morning"/>
    <n v="5"/>
    <n v="8"/>
    <s v="Plan C"/>
    <x v="15"/>
  </r>
  <r>
    <x v="707"/>
    <x v="10"/>
    <x v="3"/>
    <x v="110"/>
    <d v="2023-09-16T00:00:00"/>
    <x v="14"/>
    <x v="2"/>
    <n v="2"/>
    <s v="Dr. Patel"/>
    <n v="34759"/>
    <x v="2"/>
    <x v="1"/>
    <x v="0"/>
    <d v="2023-02-09T00:00:00"/>
    <d v="2023-02-09T05:00:00"/>
    <s v="Blood Test"/>
    <s v="Accepted"/>
    <s v="Night"/>
    <n v="4"/>
    <n v="10"/>
    <s v="Plan C"/>
    <x v="5"/>
  </r>
  <r>
    <x v="708"/>
    <x v="12"/>
    <x v="3"/>
    <x v="402"/>
    <d v="2023-07-07T00:00:00"/>
    <x v="12"/>
    <x v="2"/>
    <n v="4"/>
    <s v="Dr. Rao"/>
    <n v="5559"/>
    <x v="4"/>
    <x v="0"/>
    <x v="0"/>
    <d v="2023-06-27T00:00:00"/>
    <d v="2023-06-27T01:00:00"/>
    <s v="MRI"/>
    <s v="Accepted"/>
    <s v="Night"/>
    <n v="5"/>
    <n v="12"/>
    <s v="Plan A"/>
    <x v="8"/>
  </r>
  <r>
    <x v="709"/>
    <x v="65"/>
    <x v="3"/>
    <x v="403"/>
    <d v="2023-03-21T00:00:00"/>
    <x v="3"/>
    <x v="4"/>
    <n v="5"/>
    <s v="Dr. Sharma"/>
    <n v="5713"/>
    <x v="4"/>
    <x v="1"/>
    <x v="0"/>
    <d v="2023-03-18T00:00:00"/>
    <d v="2023-03-18T17:00:00"/>
    <s v="Blood Test"/>
    <s v="Accepted"/>
    <s v="Afternoon"/>
    <n v="10"/>
    <n v="8"/>
    <s v="Plan B"/>
    <x v="5"/>
  </r>
  <r>
    <x v="710"/>
    <x v="12"/>
    <x v="2"/>
    <x v="401"/>
    <d v="2023-06-24T00:00:00"/>
    <x v="13"/>
    <x v="4"/>
    <n v="5"/>
    <s v="Dr. Sharma"/>
    <n v="42361"/>
    <x v="2"/>
    <x v="0"/>
    <x v="1"/>
    <d v="2023-06-06T00:00:00"/>
    <d v="2023-06-06T14:00:00"/>
    <s v="X-Ray"/>
    <s v="Accepted"/>
    <s v="Afternoon"/>
    <n v="8"/>
    <n v="12"/>
    <s v="Plan A"/>
    <x v="15"/>
  </r>
  <r>
    <x v="711"/>
    <x v="66"/>
    <x v="5"/>
    <x v="171"/>
    <d v="2023-08-01T00:00:00"/>
    <x v="5"/>
    <x v="0"/>
    <n v="1"/>
    <s v="Dr. Rao"/>
    <n v="20184"/>
    <x v="4"/>
    <x v="1"/>
    <x v="0"/>
    <d v="2023-03-01T00:00:00"/>
    <d v="2023-03-01T03:00:00"/>
    <s v="Ultrasound"/>
    <s v="Accepted"/>
    <s v="Night"/>
    <n v="11"/>
    <n v="8"/>
    <s v="Plan A"/>
    <x v="5"/>
  </r>
  <r>
    <x v="712"/>
    <x v="50"/>
    <x v="3"/>
    <x v="266"/>
    <d v="2024-02-24T00:00:00"/>
    <x v="4"/>
    <x v="5"/>
    <n v="2"/>
    <s v="Dr. Rao"/>
    <n v="20261"/>
    <x v="3"/>
    <x v="0"/>
    <x v="0"/>
    <d v="2024-02-20T00:00:00"/>
    <d v="2024-02-20T04:00:00"/>
    <s v="Blood Test"/>
    <s v="Accepted"/>
    <s v="Night"/>
    <n v="8"/>
    <n v="10"/>
    <s v="Plan B"/>
    <x v="19"/>
  </r>
  <r>
    <x v="713"/>
    <x v="50"/>
    <x v="3"/>
    <x v="358"/>
    <d v="2024-04-17T00:00:00"/>
    <x v="0"/>
    <x v="4"/>
    <n v="5"/>
    <s v="Dr. Sharma"/>
    <n v="25372"/>
    <x v="2"/>
    <x v="1"/>
    <x v="0"/>
    <d v="2024-02-04T00:00:00"/>
    <d v="2024-03-04T02:00:00"/>
    <s v="MRI"/>
    <s v="Accepted"/>
    <s v="Morning"/>
    <n v="4"/>
    <n v="8"/>
    <s v="Plan B"/>
    <x v="17"/>
  </r>
  <r>
    <x v="714"/>
    <x v="5"/>
    <x v="5"/>
    <x v="243"/>
    <d v="2024-04-05T00:00:00"/>
    <x v="6"/>
    <x v="1"/>
    <n v="5"/>
    <s v="Dr. Rao"/>
    <n v="37140"/>
    <x v="3"/>
    <x v="0"/>
    <x v="0"/>
    <d v="2024-04-21T00:00:00"/>
    <d v="2024-04-22T09:00:00"/>
    <s v="Ultrasound"/>
    <s v="Accepted"/>
    <s v="Morning"/>
    <n v="4"/>
    <n v="10"/>
    <s v="Plan A"/>
    <x v="13"/>
  </r>
  <r>
    <x v="715"/>
    <x v="80"/>
    <x v="4"/>
    <x v="404"/>
    <d v="2023-09-11T00:00:00"/>
    <x v="13"/>
    <x v="2"/>
    <n v="4"/>
    <s v="Dr. Mehta"/>
    <n v="38024"/>
    <x v="4"/>
    <x v="1"/>
    <x v="0"/>
    <d v="2023-10-21T00:00:00"/>
    <d v="2023-10-21T19:00:00"/>
    <s v="CT Scan"/>
    <s v="Accepted"/>
    <s v="Afternoon"/>
    <n v="5"/>
    <n v="10"/>
    <s v="Plan C"/>
    <x v="15"/>
  </r>
  <r>
    <x v="716"/>
    <x v="53"/>
    <x v="3"/>
    <x v="405"/>
    <d v="2023-09-02T00:00:00"/>
    <x v="10"/>
    <x v="4"/>
    <n v="1"/>
    <s v="Dr. Patel"/>
    <n v="37544"/>
    <x v="2"/>
    <x v="1"/>
    <x v="0"/>
    <d v="2023-03-02T00:00:00"/>
    <d v="2023-04-02T17:00:00"/>
    <s v="Blood Test"/>
    <s v="Accepted"/>
    <s v="Afternoon"/>
    <n v="5"/>
    <n v="8"/>
    <s v="Plan A"/>
    <x v="5"/>
  </r>
  <r>
    <x v="717"/>
    <x v="42"/>
    <x v="2"/>
    <x v="406"/>
    <d v="2023-04-09T00:00:00"/>
    <x v="9"/>
    <x v="1"/>
    <n v="3"/>
    <s v="Dr. Patel"/>
    <n v="5037"/>
    <x v="4"/>
    <x v="0"/>
    <x v="0"/>
    <d v="2023-08-25T00:00:00"/>
    <d v="2023-08-26T22:00:00"/>
    <s v="Ultrasound"/>
    <s v="Accepted"/>
    <s v="Night"/>
    <n v="6"/>
    <n v="12"/>
    <s v="Plan C"/>
    <x v="3"/>
  </r>
  <r>
    <x v="718"/>
    <x v="31"/>
    <x v="1"/>
    <x v="407"/>
    <d v="2023-07-11T00:00:00"/>
    <x v="8"/>
    <x v="1"/>
    <n v="1"/>
    <s v="Dr. Patel"/>
    <n v="48032"/>
    <x v="2"/>
    <x v="1"/>
    <x v="1"/>
    <d v="2023-10-18T00:00:00"/>
    <d v="2023-10-19T09:00:00"/>
    <s v="CT Scan"/>
    <s v="Accepted"/>
    <s v="Afternoon"/>
    <n v="10"/>
    <n v="10"/>
    <s v="Plan A"/>
    <x v="15"/>
  </r>
  <r>
    <x v="719"/>
    <x v="60"/>
    <x v="1"/>
    <x v="376"/>
    <d v="2023-10-19T00:00:00"/>
    <x v="2"/>
    <x v="1"/>
    <n v="3"/>
    <s v="Dr. Mehta"/>
    <n v="17697"/>
    <x v="4"/>
    <x v="0"/>
    <x v="0"/>
    <d v="2023-10-17T00:00:00"/>
    <d v="2023-10-18T03:00:00"/>
    <s v="MRI"/>
    <s v="Rejected"/>
    <s v="Morning"/>
    <n v="6"/>
    <n v="12"/>
    <s v="Plan B"/>
    <x v="15"/>
  </r>
  <r>
    <x v="720"/>
    <x v="28"/>
    <x v="0"/>
    <x v="47"/>
    <d v="2024-04-21T00:00:00"/>
    <x v="11"/>
    <x v="0"/>
    <n v="2"/>
    <s v="Dr. Rao"/>
    <n v="46420"/>
    <x v="3"/>
    <x v="1"/>
    <x v="0"/>
    <d v="2024-06-04T00:00:00"/>
    <d v="2024-07-04T04:00:00"/>
    <s v="X-Ray"/>
    <s v="Accepted"/>
    <s v="Night"/>
    <n v="6"/>
    <n v="8"/>
    <s v="Plan C"/>
    <x v="18"/>
  </r>
  <r>
    <x v="721"/>
    <x v="58"/>
    <x v="0"/>
    <x v="134"/>
    <d v="2023-03-28T00:00:00"/>
    <x v="13"/>
    <x v="0"/>
    <n v="2"/>
    <s v="Dr. Gupta"/>
    <n v="36707"/>
    <x v="3"/>
    <x v="0"/>
    <x v="0"/>
    <d v="2023-11-03T00:00:00"/>
    <d v="2023-12-03T21:00:00"/>
    <s v="Blood Test"/>
    <s v="Accepted"/>
    <s v="Morning"/>
    <n v="4"/>
    <n v="10"/>
    <s v="Plan B"/>
    <x v="5"/>
  </r>
  <r>
    <x v="722"/>
    <x v="70"/>
    <x v="1"/>
    <x v="408"/>
    <d v="2023-06-09T00:00:00"/>
    <x v="9"/>
    <x v="1"/>
    <n v="5"/>
    <s v="Dr. Rao"/>
    <n v="31016"/>
    <x v="4"/>
    <x v="0"/>
    <x v="0"/>
    <d v="2023-08-27T00:00:00"/>
    <d v="2023-08-28T02:00:00"/>
    <s v="X-Ray"/>
    <s v="Accepted"/>
    <s v="Night"/>
    <n v="9"/>
    <n v="12"/>
    <s v="Plan B"/>
    <x v="3"/>
  </r>
  <r>
    <x v="723"/>
    <x v="34"/>
    <x v="1"/>
    <x v="32"/>
    <d v="2023-12-10T00:00:00"/>
    <x v="13"/>
    <x v="0"/>
    <n v="2"/>
    <s v="Dr. Sharma"/>
    <n v="39600"/>
    <x v="2"/>
    <x v="0"/>
    <x v="0"/>
    <d v="2023-09-24T00:00:00"/>
    <d v="2023-09-24T06:00:00"/>
    <s v="MRI"/>
    <s v="Accepted"/>
    <s v="Night"/>
    <n v="9"/>
    <n v="10"/>
    <s v="Plan B"/>
    <x v="2"/>
  </r>
  <r>
    <x v="724"/>
    <x v="26"/>
    <x v="2"/>
    <x v="409"/>
    <d v="2023-07-24T00:00:00"/>
    <x v="2"/>
    <x v="5"/>
    <n v="5"/>
    <s v="Dr. Patel"/>
    <n v="28984"/>
    <x v="0"/>
    <x v="0"/>
    <x v="0"/>
    <d v="2023-07-21T00:00:00"/>
    <d v="2023-07-22T17:00:00"/>
    <s v="Ultrasound"/>
    <s v="Accepted"/>
    <s v="Morning"/>
    <n v="9"/>
    <n v="8"/>
    <s v="Plan B"/>
    <x v="11"/>
  </r>
  <r>
    <x v="725"/>
    <x v="59"/>
    <x v="5"/>
    <x v="292"/>
    <d v="2024-03-16T00:00:00"/>
    <x v="5"/>
    <x v="1"/>
    <n v="1"/>
    <s v="Dr. Rao"/>
    <n v="10167"/>
    <x v="3"/>
    <x v="0"/>
    <x v="0"/>
    <d v="2024-11-03T00:00:00"/>
    <d v="2024-12-03T11:00:00"/>
    <s v="Ultrasound"/>
    <s v="Accepted"/>
    <s v="Afternoon"/>
    <n v="9"/>
    <n v="10"/>
    <s v="Plan B"/>
    <x v="23"/>
  </r>
  <r>
    <x v="726"/>
    <x v="73"/>
    <x v="0"/>
    <x v="93"/>
    <d v="2023-04-30T00:00:00"/>
    <x v="2"/>
    <x v="5"/>
    <n v="2"/>
    <s v="Dr. Gupta"/>
    <n v="5432"/>
    <x v="3"/>
    <x v="0"/>
    <x v="1"/>
    <d v="2023-04-27T00:00:00"/>
    <d v="2023-04-28T11:00:00"/>
    <s v="MRI"/>
    <s v="Accepted"/>
    <s v="Afternoon"/>
    <n v="6"/>
    <n v="8"/>
    <s v="Plan A"/>
    <x v="0"/>
  </r>
  <r>
    <x v="727"/>
    <x v="49"/>
    <x v="5"/>
    <x v="129"/>
    <d v="2023-01-09T00:00:00"/>
    <x v="14"/>
    <x v="5"/>
    <n v="1"/>
    <s v="Dr. Sharma"/>
    <n v="9151"/>
    <x v="0"/>
    <x v="1"/>
    <x v="0"/>
    <d v="2023-08-15T00:00:00"/>
    <d v="2023-08-16T16:00:00"/>
    <s v="MRI"/>
    <s v="Accepted"/>
    <s v="Afternoon"/>
    <n v="4"/>
    <n v="12"/>
    <s v="Plan C"/>
    <x v="3"/>
  </r>
  <r>
    <x v="728"/>
    <x v="2"/>
    <x v="2"/>
    <x v="226"/>
    <d v="2023-05-06T00:00:00"/>
    <x v="3"/>
    <x v="1"/>
    <n v="1"/>
    <s v="Dr. Mehta"/>
    <n v="11411"/>
    <x v="4"/>
    <x v="1"/>
    <x v="1"/>
    <d v="2023-05-31T00:00:00"/>
    <d v="2023-05-31T10:00:00"/>
    <s v="Blood Test"/>
    <s v="Accepted"/>
    <s v="Afternoon"/>
    <n v="9"/>
    <n v="10"/>
    <s v="Plan A"/>
    <x v="7"/>
  </r>
  <r>
    <x v="729"/>
    <x v="32"/>
    <x v="1"/>
    <x v="410"/>
    <d v="2023-05-10T00:00:00"/>
    <x v="5"/>
    <x v="2"/>
    <n v="2"/>
    <s v="Dr. Mehta"/>
    <n v="35788"/>
    <x v="2"/>
    <x v="0"/>
    <x v="1"/>
    <d v="2023-09-29T00:00:00"/>
    <d v="2023-09-29T18:00:00"/>
    <s v="CT Scan"/>
    <s v="Rejected"/>
    <s v="Morning"/>
    <n v="11"/>
    <n v="12"/>
    <s v="Plan A"/>
    <x v="2"/>
  </r>
  <r>
    <x v="730"/>
    <x v="55"/>
    <x v="3"/>
    <x v="411"/>
    <d v="2023-03-06T00:00:00"/>
    <x v="6"/>
    <x v="1"/>
    <n v="1"/>
    <s v="Dr. Gupta"/>
    <n v="31623"/>
    <x v="4"/>
    <x v="0"/>
    <x v="0"/>
    <d v="2023-05-21T00:00:00"/>
    <d v="2023-05-21T06:00:00"/>
    <s v="X-Ray"/>
    <s v="Accepted"/>
    <s v="Night"/>
    <n v="8"/>
    <n v="8"/>
    <s v="Plan A"/>
    <x v="4"/>
  </r>
  <r>
    <x v="731"/>
    <x v="49"/>
    <x v="5"/>
    <x v="54"/>
    <d v="2023-03-30T00:00:00"/>
    <x v="8"/>
    <x v="1"/>
    <n v="2"/>
    <s v="Dr. Sharma"/>
    <n v="27104"/>
    <x v="1"/>
    <x v="0"/>
    <x v="0"/>
    <d v="2023-11-03T00:00:00"/>
    <d v="2023-11-03T20:00:00"/>
    <s v="X-Ray"/>
    <s v="Accepted"/>
    <s v="Morning"/>
    <n v="7"/>
    <n v="8"/>
    <s v="Plan B"/>
    <x v="5"/>
  </r>
  <r>
    <x v="732"/>
    <x v="47"/>
    <x v="1"/>
    <x v="398"/>
    <d v="2023-12-03T00:00:00"/>
    <x v="9"/>
    <x v="0"/>
    <n v="2"/>
    <s v="Dr. Patel"/>
    <n v="5256"/>
    <x v="3"/>
    <x v="0"/>
    <x v="0"/>
    <d v="2023-01-03T00:00:00"/>
    <d v="2023-01-03T06:00:00"/>
    <s v="Ultrasound"/>
    <s v="Accepted"/>
    <s v="Afternoon"/>
    <n v="8"/>
    <n v="12"/>
    <s v="Plan A"/>
    <x v="5"/>
  </r>
  <r>
    <x v="733"/>
    <x v="10"/>
    <x v="1"/>
    <x v="119"/>
    <d v="2023-06-22T00:00:00"/>
    <x v="3"/>
    <x v="1"/>
    <n v="2"/>
    <s v="Dr. Rao"/>
    <n v="38439"/>
    <x v="1"/>
    <x v="0"/>
    <x v="1"/>
    <d v="2023-06-15T00:00:00"/>
    <d v="2023-06-16T09:00:00"/>
    <s v="Ultrasound"/>
    <s v="Rejected"/>
    <s v="Afternoon"/>
    <n v="4"/>
    <n v="12"/>
    <s v="Plan C"/>
    <x v="8"/>
  </r>
  <r>
    <x v="734"/>
    <x v="45"/>
    <x v="4"/>
    <x v="109"/>
    <d v="2023-11-25T00:00:00"/>
    <x v="13"/>
    <x v="2"/>
    <n v="3"/>
    <s v="Dr. Sharma"/>
    <n v="38257"/>
    <x v="3"/>
    <x v="1"/>
    <x v="0"/>
    <d v="2023-07-11T00:00:00"/>
    <d v="2023-07-11T14:00:00"/>
    <s v="Blood Test"/>
    <s v="Accepted"/>
    <s v="Morning"/>
    <n v="4"/>
    <n v="8"/>
    <s v="Plan A"/>
    <x v="14"/>
  </r>
  <r>
    <x v="735"/>
    <x v="64"/>
    <x v="5"/>
    <x v="407"/>
    <d v="2023-10-30T00:00:00"/>
    <x v="1"/>
    <x v="0"/>
    <n v="1"/>
    <s v="Dr. Mehta"/>
    <n v="44657"/>
    <x v="3"/>
    <x v="1"/>
    <x v="0"/>
    <d v="2023-10-18T00:00:00"/>
    <d v="2023-10-18T10:00:00"/>
    <s v="MRI"/>
    <s v="Accepted"/>
    <s v="Night"/>
    <n v="7"/>
    <n v="12"/>
    <s v="Plan B"/>
    <x v="15"/>
  </r>
  <r>
    <x v="736"/>
    <x v="59"/>
    <x v="3"/>
    <x v="412"/>
    <d v="2024-03-27T00:00:00"/>
    <x v="2"/>
    <x v="3"/>
    <n v="4"/>
    <s v="Dr. Gupta"/>
    <n v="49674"/>
    <x v="1"/>
    <x v="1"/>
    <x v="0"/>
    <d v="2024-03-23T00:00:00"/>
    <d v="2024-03-24T11:00:00"/>
    <s v="X-Ray"/>
    <s v="Accepted"/>
    <s v="Morning"/>
    <n v="5"/>
    <n v="8"/>
    <s v="Plan C"/>
    <x v="16"/>
  </r>
  <r>
    <x v="737"/>
    <x v="47"/>
    <x v="5"/>
    <x v="35"/>
    <d v="2023-05-23T00:00:00"/>
    <x v="8"/>
    <x v="3"/>
    <n v="2"/>
    <s v="Dr. Gupta"/>
    <n v="23066"/>
    <x v="1"/>
    <x v="1"/>
    <x v="0"/>
    <d v="2023-07-05T00:00:00"/>
    <d v="2023-07-05T21:00:00"/>
    <s v="Blood Test"/>
    <s v="Accepted"/>
    <s v="Morning"/>
    <n v="5"/>
    <n v="12"/>
    <s v="Plan C"/>
    <x v="3"/>
  </r>
  <r>
    <x v="738"/>
    <x v="62"/>
    <x v="1"/>
    <x v="90"/>
    <d v="2024-04-28T00:00:00"/>
    <x v="7"/>
    <x v="5"/>
    <n v="1"/>
    <s v="Dr. Rao"/>
    <n v="37746"/>
    <x v="4"/>
    <x v="1"/>
    <x v="0"/>
    <d v="2024-04-22T00:00:00"/>
    <d v="2024-04-23T02:00:00"/>
    <s v="Ultrasound"/>
    <s v="Rejected"/>
    <s v="Morning"/>
    <n v="11"/>
    <n v="8"/>
    <s v="Plan C"/>
    <x v="13"/>
  </r>
  <r>
    <x v="739"/>
    <x v="75"/>
    <x v="3"/>
    <x v="273"/>
    <d v="2023-11-22T00:00:00"/>
    <x v="13"/>
    <x v="5"/>
    <n v="5"/>
    <s v="Dr. Gupta"/>
    <n v="7460"/>
    <x v="1"/>
    <x v="0"/>
    <x v="0"/>
    <d v="2023-07-11T00:00:00"/>
    <d v="2023-08-11T14:00:00"/>
    <s v="Ultrasound"/>
    <s v="Accepted"/>
    <s v="Night"/>
    <n v="5"/>
    <n v="8"/>
    <s v="Plan C"/>
    <x v="3"/>
  </r>
  <r>
    <x v="740"/>
    <x v="80"/>
    <x v="2"/>
    <x v="155"/>
    <d v="2024-02-25T00:00:00"/>
    <x v="6"/>
    <x v="2"/>
    <n v="2"/>
    <s v="Dr. Gupta"/>
    <n v="42297"/>
    <x v="4"/>
    <x v="0"/>
    <x v="0"/>
    <d v="2024-12-02T00:00:00"/>
    <d v="2024-02-13T17:00:00"/>
    <s v="X-Ray"/>
    <s v="Accepted"/>
    <s v="Morning"/>
    <n v="6"/>
    <n v="10"/>
    <s v="Plan A"/>
    <x v="19"/>
  </r>
  <r>
    <x v="741"/>
    <x v="27"/>
    <x v="4"/>
    <x v="213"/>
    <d v="2023-10-21T00:00:00"/>
    <x v="8"/>
    <x v="4"/>
    <n v="2"/>
    <s v="Dr. Sharma"/>
    <n v="39743"/>
    <x v="4"/>
    <x v="1"/>
    <x v="1"/>
    <d v="2023-02-10T00:00:00"/>
    <d v="2023-03-10T18:00:00"/>
    <s v="Ultrasound"/>
    <s v="Accepted"/>
    <s v="Morning"/>
    <n v="5"/>
    <n v="8"/>
    <s v="Plan B"/>
    <x v="8"/>
  </r>
  <r>
    <x v="742"/>
    <x v="65"/>
    <x v="1"/>
    <x v="97"/>
    <d v="2024-02-06T00:00:00"/>
    <x v="10"/>
    <x v="3"/>
    <n v="4"/>
    <s v="Dr. Patel"/>
    <n v="8216"/>
    <x v="4"/>
    <x v="1"/>
    <x v="0"/>
    <d v="2024-05-26T00:00:00"/>
    <d v="2024-05-27T20:00:00"/>
    <s v="Ultrasound"/>
    <s v="Accepted"/>
    <s v="Afternoon"/>
    <n v="10"/>
    <n v="8"/>
    <s v="Plan C"/>
    <x v="12"/>
  </r>
  <r>
    <x v="743"/>
    <x v="69"/>
    <x v="0"/>
    <x v="82"/>
    <d v="2024-04-06T00:00:00"/>
    <x v="8"/>
    <x v="5"/>
    <n v="3"/>
    <s v="Dr. Rao"/>
    <n v="19267"/>
    <x v="3"/>
    <x v="1"/>
    <x v="0"/>
    <d v="2024-05-17T00:00:00"/>
    <d v="2024-05-18T18:00:00"/>
    <s v="CT Scan"/>
    <s v="Accepted"/>
    <s v="Morning"/>
    <n v="6"/>
    <n v="10"/>
    <s v="Plan C"/>
    <x v="12"/>
  </r>
  <r>
    <x v="744"/>
    <x v="53"/>
    <x v="0"/>
    <x v="124"/>
    <d v="2024-03-25T00:00:00"/>
    <x v="4"/>
    <x v="3"/>
    <n v="3"/>
    <s v="Dr. Sharma"/>
    <n v="14581"/>
    <x v="3"/>
    <x v="1"/>
    <x v="0"/>
    <d v="2024-03-22T00:00:00"/>
    <d v="2024-03-22T05:00:00"/>
    <s v="MRI"/>
    <s v="Accepted"/>
    <s v="Afternoon"/>
    <n v="6"/>
    <n v="10"/>
    <s v="Plan B"/>
    <x v="16"/>
  </r>
  <r>
    <x v="745"/>
    <x v="35"/>
    <x v="4"/>
    <x v="184"/>
    <d v="2023-03-31T00:00:00"/>
    <x v="1"/>
    <x v="2"/>
    <n v="2"/>
    <s v="Dr. Patel"/>
    <n v="9515"/>
    <x v="1"/>
    <x v="1"/>
    <x v="1"/>
    <d v="2023-03-22T00:00:00"/>
    <d v="2023-03-22T20:00:00"/>
    <s v="Ultrasound"/>
    <s v="Accepted"/>
    <s v="Afternoon"/>
    <n v="11"/>
    <n v="12"/>
    <s v="Plan A"/>
    <x v="5"/>
  </r>
  <r>
    <x v="746"/>
    <x v="74"/>
    <x v="2"/>
    <x v="189"/>
    <d v="2023-11-02T00:00:00"/>
    <x v="4"/>
    <x v="2"/>
    <n v="1"/>
    <s v="Dr. Sharma"/>
    <n v="27076"/>
    <x v="3"/>
    <x v="1"/>
    <x v="0"/>
    <d v="2023-10-02T00:00:00"/>
    <d v="2023-11-02T21:00:00"/>
    <s v="CT Scan"/>
    <s v="Accepted"/>
    <s v="Afternoon"/>
    <n v="5"/>
    <n v="12"/>
    <s v="Plan C"/>
    <x v="15"/>
  </r>
  <r>
    <x v="747"/>
    <x v="7"/>
    <x v="1"/>
    <x v="413"/>
    <d v="2024-03-25T00:00:00"/>
    <x v="1"/>
    <x v="4"/>
    <n v="5"/>
    <s v="Dr. Sharma"/>
    <n v="49816"/>
    <x v="1"/>
    <x v="1"/>
    <x v="0"/>
    <d v="2024-03-14T00:00:00"/>
    <d v="2024-03-15T04:00:00"/>
    <s v="Blood Test"/>
    <s v="Rejected"/>
    <s v="Night"/>
    <n v="5"/>
    <n v="8"/>
    <s v="Plan A"/>
    <x v="16"/>
  </r>
  <r>
    <x v="748"/>
    <x v="28"/>
    <x v="5"/>
    <x v="355"/>
    <d v="2023-06-12T00:00:00"/>
    <x v="9"/>
    <x v="4"/>
    <n v="5"/>
    <s v="Dr. Gupta"/>
    <n v="14776"/>
    <x v="3"/>
    <x v="1"/>
    <x v="0"/>
    <d v="2023-11-23T00:00:00"/>
    <d v="2023-11-24T23:00:00"/>
    <s v="Ultrasound"/>
    <s v="Accepted"/>
    <s v="Afternoon"/>
    <n v="11"/>
    <n v="12"/>
    <s v="Plan A"/>
    <x v="14"/>
  </r>
  <r>
    <x v="749"/>
    <x v="15"/>
    <x v="4"/>
    <x v="414"/>
    <d v="2023-09-20T00:00:00"/>
    <x v="10"/>
    <x v="0"/>
    <n v="1"/>
    <s v="Dr. Patel"/>
    <n v="26947"/>
    <x v="2"/>
    <x v="0"/>
    <x v="1"/>
    <d v="2023-09-09T00:00:00"/>
    <d v="2023-09-09T16:00:00"/>
    <s v="Blood Test"/>
    <s v="Accepted"/>
    <s v="Morning"/>
    <n v="7"/>
    <n v="12"/>
    <s v="Plan A"/>
    <x v="2"/>
  </r>
  <r>
    <x v="750"/>
    <x v="16"/>
    <x v="2"/>
    <x v="345"/>
    <d v="2023-01-31T00:00:00"/>
    <x v="7"/>
    <x v="2"/>
    <n v="2"/>
    <s v="Dr. Rao"/>
    <n v="7963"/>
    <x v="2"/>
    <x v="1"/>
    <x v="0"/>
    <d v="2023-01-26T00:00:00"/>
    <d v="2023-01-26T04:00:00"/>
    <s v="Ultrasound"/>
    <s v="Accepted"/>
    <s v="Morning"/>
    <n v="9"/>
    <n v="8"/>
    <s v="Plan A"/>
    <x v="1"/>
  </r>
  <r>
    <x v="751"/>
    <x v="15"/>
    <x v="5"/>
    <x v="83"/>
    <d v="2023-11-04T00:00:00"/>
    <x v="1"/>
    <x v="5"/>
    <n v="5"/>
    <s v="Dr. Rao"/>
    <n v="11786"/>
    <x v="1"/>
    <x v="1"/>
    <x v="0"/>
    <d v="2023-03-30T00:00:00"/>
    <d v="2023-03-30T16:00:00"/>
    <s v="X-Ray"/>
    <s v="Accepted"/>
    <s v="Afternoon"/>
    <n v="11"/>
    <n v="10"/>
    <s v="Plan C"/>
    <x v="0"/>
  </r>
  <r>
    <x v="752"/>
    <x v="45"/>
    <x v="0"/>
    <x v="63"/>
    <d v="2023-08-25T00:00:00"/>
    <x v="2"/>
    <x v="3"/>
    <n v="3"/>
    <s v="Dr. Patel"/>
    <n v="18866"/>
    <x v="3"/>
    <x v="1"/>
    <x v="0"/>
    <d v="2023-08-18T00:00:00"/>
    <d v="2023-08-18T06:00:00"/>
    <s v="CT Scan"/>
    <s v="Accepted"/>
    <s v="Afternoon"/>
    <n v="7"/>
    <n v="10"/>
    <s v="Plan C"/>
    <x v="3"/>
  </r>
  <r>
    <x v="753"/>
    <x v="54"/>
    <x v="0"/>
    <x v="131"/>
    <d v="2023-01-28T00:00:00"/>
    <x v="10"/>
    <x v="1"/>
    <n v="1"/>
    <s v="Dr. Gupta"/>
    <n v="43968"/>
    <x v="3"/>
    <x v="1"/>
    <x v="1"/>
    <d v="2023-01-19T00:00:00"/>
    <d v="2023-01-20T04:00:00"/>
    <s v="CT Scan"/>
    <s v="Accepted"/>
    <s v="Morning"/>
    <n v="6"/>
    <n v="8"/>
    <s v="Plan A"/>
    <x v="1"/>
  </r>
  <r>
    <x v="754"/>
    <x v="14"/>
    <x v="5"/>
    <x v="415"/>
    <d v="2023-07-10T00:00:00"/>
    <x v="7"/>
    <x v="4"/>
    <n v="4"/>
    <s v="Dr. Mehta"/>
    <n v="37305"/>
    <x v="4"/>
    <x v="0"/>
    <x v="0"/>
    <d v="2023-09-29T00:00:00"/>
    <d v="2023-09-29T08:00:00"/>
    <s v="X-Ray"/>
    <s v="Accepted"/>
    <s v="Afternoon"/>
    <n v="7"/>
    <n v="8"/>
    <s v="Plan A"/>
    <x v="5"/>
  </r>
  <r>
    <x v="755"/>
    <x v="69"/>
    <x v="4"/>
    <x v="338"/>
    <d v="2023-12-02T00:00:00"/>
    <x v="4"/>
    <x v="1"/>
    <n v="2"/>
    <s v="Dr. Sharma"/>
    <n v="22360"/>
    <x v="0"/>
    <x v="0"/>
    <x v="0"/>
    <d v="2023-08-02T00:00:00"/>
    <d v="2023-09-02T06:00:00"/>
    <s v="MRI"/>
    <s v="Accepted"/>
    <s v="Night"/>
    <n v="6"/>
    <n v="8"/>
    <s v="Plan B"/>
    <x v="14"/>
  </r>
  <r>
    <x v="756"/>
    <x v="28"/>
    <x v="0"/>
    <x v="416"/>
    <d v="2023-05-07T00:00:00"/>
    <x v="10"/>
    <x v="5"/>
    <n v="1"/>
    <s v="Dr. Gupta"/>
    <n v="45113"/>
    <x v="1"/>
    <x v="1"/>
    <x v="1"/>
    <d v="2023-06-29T00:00:00"/>
    <d v="2023-06-30T16:00:00"/>
    <s v="CT Scan"/>
    <s v="Rejected"/>
    <s v="Afternoon"/>
    <n v="4"/>
    <n v="8"/>
    <s v="Plan B"/>
    <x v="8"/>
  </r>
  <r>
    <x v="757"/>
    <x v="48"/>
    <x v="1"/>
    <x v="243"/>
    <d v="2024-11-05T00:00:00"/>
    <x v="8"/>
    <x v="4"/>
    <n v="5"/>
    <s v="Dr. Patel"/>
    <n v="37813"/>
    <x v="0"/>
    <x v="0"/>
    <x v="1"/>
    <d v="2024-04-24T00:00:00"/>
    <d v="2024-04-25T15:00:00"/>
    <s v="Blood Test"/>
    <s v="Accepted"/>
    <s v="Night"/>
    <n v="6"/>
    <n v="8"/>
    <s v="Plan B"/>
    <x v="13"/>
  </r>
  <r>
    <x v="758"/>
    <x v="0"/>
    <x v="3"/>
    <x v="417"/>
    <d v="2024-06-17T00:00:00"/>
    <x v="2"/>
    <x v="1"/>
    <n v="2"/>
    <s v="Dr. Sharma"/>
    <n v="6193"/>
    <x v="0"/>
    <x v="1"/>
    <x v="0"/>
    <d v="2024-10-06T00:00:00"/>
    <d v="2024-10-06T04:00:00"/>
    <s v="CT Scan"/>
    <s v="Accepted"/>
    <s v="Night"/>
    <n v="6"/>
    <n v="8"/>
    <s v="Plan C"/>
    <x v="17"/>
  </r>
  <r>
    <x v="759"/>
    <x v="15"/>
    <x v="5"/>
    <x v="224"/>
    <d v="2024-11-04T00:00:00"/>
    <x v="13"/>
    <x v="5"/>
    <n v="3"/>
    <s v="Dr. Rao"/>
    <n v="9512"/>
    <x v="1"/>
    <x v="0"/>
    <x v="1"/>
    <d v="2024-03-23T00:00:00"/>
    <d v="2024-03-23T20:00:00"/>
    <s v="MRI"/>
    <s v="Rejected"/>
    <s v="Night"/>
    <n v="7"/>
    <n v="12"/>
    <s v="Plan B"/>
    <x v="16"/>
  </r>
  <r>
    <x v="760"/>
    <x v="8"/>
    <x v="5"/>
    <x v="20"/>
    <d v="2023-10-24T00:00:00"/>
    <x v="11"/>
    <x v="3"/>
    <n v="2"/>
    <s v="Dr. Mehta"/>
    <n v="27666"/>
    <x v="3"/>
    <x v="1"/>
    <x v="1"/>
    <d v="2023-09-10T00:00:00"/>
    <d v="2023-10-10T19:00:00"/>
    <s v="Blood Test"/>
    <s v="Accepted"/>
    <s v="Afternoon"/>
    <n v="9"/>
    <n v="12"/>
    <s v="Plan C"/>
    <x v="9"/>
  </r>
  <r>
    <x v="761"/>
    <x v="69"/>
    <x v="0"/>
    <x v="418"/>
    <d v="2023-07-16T00:00:00"/>
    <x v="0"/>
    <x v="5"/>
    <n v="2"/>
    <s v="Dr. Rao"/>
    <n v="21630"/>
    <x v="1"/>
    <x v="1"/>
    <x v="0"/>
    <d v="2023-01-07T00:00:00"/>
    <d v="2023-03-07T00:00:00"/>
    <s v="Blood Test"/>
    <s v="Accepted"/>
    <s v="Night"/>
    <n v="4"/>
    <n v="12"/>
    <s v="Plan C"/>
    <x v="4"/>
  </r>
  <r>
    <x v="762"/>
    <x v="14"/>
    <x v="4"/>
    <x v="258"/>
    <d v="2024-03-28T00:00:00"/>
    <x v="10"/>
    <x v="0"/>
    <n v="3"/>
    <s v="Dr. Patel"/>
    <n v="13983"/>
    <x v="0"/>
    <x v="0"/>
    <x v="0"/>
    <d v="2024-03-20T00:00:00"/>
    <d v="2024-03-21T19:00:00"/>
    <s v="X-Ray"/>
    <s v="Accepted"/>
    <s v="Night"/>
    <n v="8"/>
    <n v="10"/>
    <s v="Plan C"/>
    <x v="16"/>
  </r>
  <r>
    <x v="763"/>
    <x v="28"/>
    <x v="1"/>
    <x v="390"/>
    <d v="2024-05-31T00:00:00"/>
    <x v="14"/>
    <x v="4"/>
    <n v="3"/>
    <s v="Dr. Sharma"/>
    <n v="5636"/>
    <x v="3"/>
    <x v="0"/>
    <x v="1"/>
    <d v="2024-05-13T00:00:00"/>
    <d v="2024-05-15T00:00:00"/>
    <s v="Ultrasound"/>
    <s v="Accepted"/>
    <s v="Afternoon"/>
    <n v="8"/>
    <n v="8"/>
    <s v="Plan C"/>
    <x v="12"/>
  </r>
  <r>
    <x v="764"/>
    <x v="43"/>
    <x v="4"/>
    <x v="83"/>
    <d v="2023-07-04T00:00:00"/>
    <x v="3"/>
    <x v="2"/>
    <n v="2"/>
    <s v="Dr. Patel"/>
    <n v="8775"/>
    <x v="2"/>
    <x v="0"/>
    <x v="0"/>
    <d v="2023-01-04T00:00:00"/>
    <d v="2023-01-04T12:00:00"/>
    <s v="X-Ray"/>
    <s v="Accepted"/>
    <s v="Night"/>
    <n v="9"/>
    <n v="8"/>
    <s v="Plan B"/>
    <x v="0"/>
  </r>
  <r>
    <x v="765"/>
    <x v="62"/>
    <x v="2"/>
    <x v="243"/>
    <d v="2024-04-29T00:00:00"/>
    <x v="3"/>
    <x v="3"/>
    <n v="3"/>
    <s v="Dr. Sharma"/>
    <n v="7421"/>
    <x v="1"/>
    <x v="1"/>
    <x v="1"/>
    <d v="2024-04-23T00:00:00"/>
    <d v="2024-04-23T08:00:00"/>
    <s v="Ultrasound"/>
    <s v="Accepted"/>
    <s v="Afternoon"/>
    <n v="8"/>
    <n v="12"/>
    <s v="Plan A"/>
    <x v="13"/>
  </r>
  <r>
    <x v="766"/>
    <x v="57"/>
    <x v="2"/>
    <x v="419"/>
    <d v="2023-12-24T00:00:00"/>
    <x v="4"/>
    <x v="1"/>
    <n v="1"/>
    <s v="Dr. Gupta"/>
    <n v="18025"/>
    <x v="1"/>
    <x v="1"/>
    <x v="1"/>
    <d v="2023-12-22T00:00:00"/>
    <d v="2023-12-22T01:00:00"/>
    <s v="X-Ray"/>
    <s v="Accepted"/>
    <s v="Morning"/>
    <n v="4"/>
    <n v="10"/>
    <s v="Plan A"/>
    <x v="9"/>
  </r>
  <r>
    <x v="767"/>
    <x v="34"/>
    <x v="3"/>
    <x v="266"/>
    <d v="2024-02-28T00:00:00"/>
    <x v="5"/>
    <x v="4"/>
    <n v="3"/>
    <s v="Dr. Mehta"/>
    <n v="14280"/>
    <x v="3"/>
    <x v="0"/>
    <x v="1"/>
    <d v="2024-02-21T00:00:00"/>
    <d v="2024-02-22T22:00:00"/>
    <s v="Ultrasound"/>
    <s v="Accepted"/>
    <s v="Night"/>
    <n v="5"/>
    <n v="12"/>
    <s v="Plan A"/>
    <x v="19"/>
  </r>
  <r>
    <x v="768"/>
    <x v="88"/>
    <x v="0"/>
    <x v="221"/>
    <d v="2023-12-23T00:00:00"/>
    <x v="8"/>
    <x v="2"/>
    <n v="3"/>
    <s v="Dr. Gupta"/>
    <n v="41951"/>
    <x v="2"/>
    <x v="1"/>
    <x v="0"/>
    <d v="2023-05-12T00:00:00"/>
    <d v="2023-05-12T09:00:00"/>
    <s v="CT Scan"/>
    <s v="Accepted"/>
    <s v="Afternoon"/>
    <n v="4"/>
    <n v="8"/>
    <s v="Plan B"/>
    <x v="3"/>
  </r>
  <r>
    <x v="769"/>
    <x v="77"/>
    <x v="0"/>
    <x v="420"/>
    <d v="2023-09-12T00:00:00"/>
    <x v="13"/>
    <x v="5"/>
    <n v="2"/>
    <s v="Dr. Gupta"/>
    <n v="16351"/>
    <x v="2"/>
    <x v="1"/>
    <x v="1"/>
    <d v="2023-11-24T00:00:00"/>
    <d v="2023-11-25T21:00:00"/>
    <s v="Blood Test"/>
    <s v="Accepted"/>
    <s v="Morning"/>
    <n v="7"/>
    <n v="8"/>
    <s v="Plan A"/>
    <x v="14"/>
  </r>
  <r>
    <x v="770"/>
    <x v="80"/>
    <x v="0"/>
    <x v="421"/>
    <d v="2023-04-26T00:00:00"/>
    <x v="6"/>
    <x v="2"/>
    <n v="1"/>
    <s v="Dr. Patel"/>
    <n v="43091"/>
    <x v="3"/>
    <x v="1"/>
    <x v="1"/>
    <d v="2023-04-14T00:00:00"/>
    <d v="2023-04-14T01:00:00"/>
    <s v="Ultrasound"/>
    <s v="Accepted"/>
    <s v="Night"/>
    <n v="11"/>
    <n v="12"/>
    <s v="Plan B"/>
    <x v="0"/>
  </r>
  <r>
    <x v="771"/>
    <x v="50"/>
    <x v="3"/>
    <x v="422"/>
    <d v="2023-06-26T00:00:00"/>
    <x v="11"/>
    <x v="4"/>
    <n v="4"/>
    <s v="Dr. Mehta"/>
    <n v="35171"/>
    <x v="4"/>
    <x v="1"/>
    <x v="0"/>
    <d v="2023-11-06T00:00:00"/>
    <d v="2023-11-06T11:00:00"/>
    <s v="CT Scan"/>
    <s v="Accepted"/>
    <s v="Night"/>
    <n v="10"/>
    <n v="12"/>
    <s v="Plan B"/>
    <x v="8"/>
  </r>
  <r>
    <x v="772"/>
    <x v="80"/>
    <x v="2"/>
    <x v="423"/>
    <d v="2023-12-18T00:00:00"/>
    <x v="13"/>
    <x v="4"/>
    <n v="4"/>
    <s v="Dr. Sharma"/>
    <n v="8644"/>
    <x v="1"/>
    <x v="1"/>
    <x v="0"/>
    <d v="2023-03-12T00:00:00"/>
    <d v="2023-04-12T08:00:00"/>
    <s v="MRI"/>
    <s v="Accepted"/>
    <s v="Afternoon"/>
    <n v="6"/>
    <n v="8"/>
    <s v="Plan B"/>
    <x v="0"/>
  </r>
  <r>
    <x v="773"/>
    <x v="37"/>
    <x v="4"/>
    <x v="239"/>
    <d v="2024-02-29T00:00:00"/>
    <x v="3"/>
    <x v="0"/>
    <n v="5"/>
    <s v="Dr. Sharma"/>
    <n v="21142"/>
    <x v="1"/>
    <x v="1"/>
    <x v="1"/>
    <d v="2024-02-25T00:00:00"/>
    <d v="2024-02-25T23:00:00"/>
    <s v="X-Ray"/>
    <s v="Accepted"/>
    <s v="Morning"/>
    <n v="6"/>
    <n v="12"/>
    <s v="Plan A"/>
    <x v="19"/>
  </r>
  <r>
    <x v="774"/>
    <x v="8"/>
    <x v="3"/>
    <x v="424"/>
    <d v="2024-04-06T00:00:00"/>
    <x v="14"/>
    <x v="0"/>
    <n v="3"/>
    <s v="Dr. Rao"/>
    <n v="12773"/>
    <x v="0"/>
    <x v="1"/>
    <x v="0"/>
    <d v="2024-05-20T00:00:00"/>
    <d v="2024-05-21T10:00:00"/>
    <s v="MRI"/>
    <s v="Accepted"/>
    <s v="Afternoon"/>
    <n v="11"/>
    <n v="8"/>
    <s v="Plan A"/>
    <x v="12"/>
  </r>
  <r>
    <x v="775"/>
    <x v="81"/>
    <x v="3"/>
    <x v="407"/>
    <d v="2023-04-11T00:00:00"/>
    <x v="11"/>
    <x v="2"/>
    <n v="3"/>
    <s v="Dr. Sharma"/>
    <n v="33466"/>
    <x v="3"/>
    <x v="0"/>
    <x v="1"/>
    <d v="2023-10-18T00:00:00"/>
    <d v="2023-10-19T10:00:00"/>
    <s v="CT Scan"/>
    <s v="Accepted"/>
    <s v="Night"/>
    <n v="7"/>
    <n v="12"/>
    <s v="Plan A"/>
    <x v="15"/>
  </r>
  <r>
    <x v="776"/>
    <x v="49"/>
    <x v="4"/>
    <x v="65"/>
    <d v="2024-02-23T00:00:00"/>
    <x v="6"/>
    <x v="5"/>
    <n v="1"/>
    <s v="Dr. Patel"/>
    <n v="15778"/>
    <x v="0"/>
    <x v="1"/>
    <x v="0"/>
    <d v="2024-02-14T00:00:00"/>
    <d v="2024-02-15T23:00:00"/>
    <s v="MRI"/>
    <s v="Accepted"/>
    <s v="Night"/>
    <n v="7"/>
    <n v="10"/>
    <s v="Plan C"/>
    <x v="19"/>
  </r>
  <r>
    <x v="777"/>
    <x v="46"/>
    <x v="0"/>
    <x v="425"/>
    <d v="2023-02-15T00:00:00"/>
    <x v="6"/>
    <x v="2"/>
    <n v="4"/>
    <s v="Dr. Gupta"/>
    <n v="17501"/>
    <x v="0"/>
    <x v="1"/>
    <x v="0"/>
    <d v="2023-04-02T00:00:00"/>
    <d v="2023-04-02T17:00:00"/>
    <s v="MRI"/>
    <s v="Rejected"/>
    <s v="Night"/>
    <n v="10"/>
    <n v="8"/>
    <s v="Plan B"/>
    <x v="11"/>
  </r>
  <r>
    <x v="778"/>
    <x v="12"/>
    <x v="1"/>
    <x v="173"/>
    <d v="2024-04-20T00:00:00"/>
    <x v="12"/>
    <x v="4"/>
    <n v="5"/>
    <s v="Dr. Gupta"/>
    <n v="7108"/>
    <x v="2"/>
    <x v="1"/>
    <x v="0"/>
    <d v="2024-10-04T00:00:00"/>
    <d v="2024-10-04T11:00:00"/>
    <s v="CT Scan"/>
    <s v="Accepted"/>
    <s v="Night"/>
    <n v="10"/>
    <n v="10"/>
    <s v="Plan C"/>
    <x v="20"/>
  </r>
  <r>
    <x v="779"/>
    <x v="74"/>
    <x v="4"/>
    <x v="426"/>
    <d v="2023-02-04T00:00:00"/>
    <x v="4"/>
    <x v="4"/>
    <n v="1"/>
    <s v="Dr. Gupta"/>
    <n v="34369"/>
    <x v="1"/>
    <x v="1"/>
    <x v="0"/>
    <d v="2023-03-28T00:00:00"/>
    <d v="2023-03-29T00:00:00"/>
    <s v="Blood Test"/>
    <s v="Accepted"/>
    <s v="Morning"/>
    <n v="6"/>
    <n v="12"/>
    <s v="Plan B"/>
    <x v="1"/>
  </r>
  <r>
    <x v="780"/>
    <x v="70"/>
    <x v="2"/>
    <x v="69"/>
    <d v="2023-04-12T00:00:00"/>
    <x v="8"/>
    <x v="1"/>
    <n v="3"/>
    <s v="Dr. Mehta"/>
    <n v="41382"/>
    <x v="0"/>
    <x v="1"/>
    <x v="0"/>
    <d v="2023-11-16T00:00:00"/>
    <d v="2023-11-16T09:00:00"/>
    <s v="Ultrasound"/>
    <s v="Accepted"/>
    <s v="Morning"/>
    <n v="10"/>
    <n v="10"/>
    <s v="Plan A"/>
    <x v="14"/>
  </r>
  <r>
    <x v="781"/>
    <x v="71"/>
    <x v="5"/>
    <x v="335"/>
    <d v="2023-09-18T00:00:00"/>
    <x v="2"/>
    <x v="0"/>
    <n v="4"/>
    <s v="Dr. Sharma"/>
    <n v="30818"/>
    <x v="2"/>
    <x v="0"/>
    <x v="1"/>
    <d v="2023-09-13T00:00:00"/>
    <d v="2023-09-15T00:00:00"/>
    <s v="X-Ray"/>
    <s v="Rejected"/>
    <s v="Afternoon"/>
    <n v="10"/>
    <n v="12"/>
    <s v="Plan B"/>
    <x v="2"/>
  </r>
  <r>
    <x v="782"/>
    <x v="7"/>
    <x v="5"/>
    <x v="105"/>
    <d v="2023-11-29T00:00:00"/>
    <x v="4"/>
    <x v="1"/>
    <n v="5"/>
    <s v="Dr. Patel"/>
    <n v="15251"/>
    <x v="3"/>
    <x v="1"/>
    <x v="0"/>
    <d v="2023-11-24T00:00:00"/>
    <d v="2023-11-24T18:00:00"/>
    <s v="Ultrasound"/>
    <s v="Accepted"/>
    <s v="Afternoon"/>
    <n v="10"/>
    <n v="10"/>
    <s v="Plan B"/>
    <x v="14"/>
  </r>
  <r>
    <x v="783"/>
    <x v="65"/>
    <x v="3"/>
    <x v="211"/>
    <d v="2023-04-05T00:00:00"/>
    <x v="5"/>
    <x v="3"/>
    <n v="2"/>
    <s v="Dr. Mehta"/>
    <n v="28341"/>
    <x v="0"/>
    <x v="0"/>
    <x v="1"/>
    <d v="2023-04-25T00:00:00"/>
    <d v="2023-04-26T23:00:00"/>
    <s v="X-Ray"/>
    <s v="Accepted"/>
    <s v="Afternoon"/>
    <n v="11"/>
    <n v="10"/>
    <s v="Plan C"/>
    <x v="0"/>
  </r>
  <r>
    <x v="784"/>
    <x v="29"/>
    <x v="5"/>
    <x v="187"/>
    <d v="2024-02-22T00:00:00"/>
    <x v="7"/>
    <x v="4"/>
    <n v="4"/>
    <s v="Dr. Rao"/>
    <n v="16678"/>
    <x v="1"/>
    <x v="1"/>
    <x v="0"/>
    <d v="2024-02-17T00:00:00"/>
    <d v="2024-02-17T08:00:00"/>
    <s v="Ultrasound"/>
    <s v="Accepted"/>
    <s v="Night"/>
    <n v="9"/>
    <n v="10"/>
    <s v="Plan B"/>
    <x v="19"/>
  </r>
  <r>
    <x v="785"/>
    <x v="25"/>
    <x v="1"/>
    <x v="138"/>
    <d v="2024-06-24T00:00:00"/>
    <x v="13"/>
    <x v="1"/>
    <n v="5"/>
    <s v="Dr. Patel"/>
    <n v="19367"/>
    <x v="0"/>
    <x v="1"/>
    <x v="0"/>
    <d v="2024-07-06T00:00:00"/>
    <d v="2024-07-06T02:00:00"/>
    <s v="MRI"/>
    <s v="Accepted"/>
    <s v="Afternoon"/>
    <n v="5"/>
    <n v="8"/>
    <s v="Plan A"/>
    <x v="20"/>
  </r>
  <r>
    <x v="786"/>
    <x v="7"/>
    <x v="0"/>
    <x v="261"/>
    <d v="2023-05-01T00:00:00"/>
    <x v="3"/>
    <x v="2"/>
    <n v="1"/>
    <s v="Dr. Patel"/>
    <n v="34672"/>
    <x v="3"/>
    <x v="0"/>
    <x v="0"/>
    <d v="2023-01-01T00:00:00"/>
    <d v="2023-01-01T22:00:00"/>
    <s v="Blood Test"/>
    <s v="Rejected"/>
    <s v="Morning"/>
    <n v="10"/>
    <n v="10"/>
    <s v="Plan B"/>
    <x v="7"/>
  </r>
  <r>
    <x v="787"/>
    <x v="82"/>
    <x v="2"/>
    <x v="57"/>
    <d v="2024-04-27T00:00:00"/>
    <x v="9"/>
    <x v="0"/>
    <n v="2"/>
    <s v="Dr. Patel"/>
    <n v="9332"/>
    <x v="0"/>
    <x v="1"/>
    <x v="0"/>
    <d v="2024-04-16T00:00:00"/>
    <d v="2024-04-17T04:00:00"/>
    <s v="MRI"/>
    <s v="Accepted"/>
    <s v="Afternoon"/>
    <n v="5"/>
    <n v="12"/>
    <s v="Plan B"/>
    <x v="13"/>
  </r>
  <r>
    <x v="788"/>
    <x v="40"/>
    <x v="1"/>
    <x v="427"/>
    <d v="2024-11-03T00:00:00"/>
    <x v="11"/>
    <x v="0"/>
    <n v="5"/>
    <s v="Dr. Gupta"/>
    <n v="17002"/>
    <x v="1"/>
    <x v="1"/>
    <x v="0"/>
    <d v="2024-02-27T00:00:00"/>
    <d v="2024-02-27T18:00:00"/>
    <s v="Blood Test"/>
    <s v="Accepted"/>
    <s v="Afternoon"/>
    <n v="5"/>
    <n v="12"/>
    <s v="Plan B"/>
    <x v="19"/>
  </r>
  <r>
    <x v="789"/>
    <x v="34"/>
    <x v="2"/>
    <x v="152"/>
    <d v="2023-07-03T00:00:00"/>
    <x v="12"/>
    <x v="5"/>
    <n v="5"/>
    <s v="Dr. Patel"/>
    <n v="25284"/>
    <x v="2"/>
    <x v="1"/>
    <x v="0"/>
    <d v="2023-02-23T00:00:00"/>
    <d v="2023-02-24T10:00:00"/>
    <s v="CT Scan"/>
    <s v="Accepted"/>
    <s v="Morning"/>
    <n v="7"/>
    <n v="8"/>
    <s v="Plan C"/>
    <x v="7"/>
  </r>
  <r>
    <x v="790"/>
    <x v="34"/>
    <x v="2"/>
    <x v="428"/>
    <d v="2023-07-21T00:00:00"/>
    <x v="9"/>
    <x v="2"/>
    <n v="3"/>
    <s v="Dr. Sharma"/>
    <n v="20700"/>
    <x v="1"/>
    <x v="1"/>
    <x v="1"/>
    <d v="2023-07-07T00:00:00"/>
    <d v="2023-07-07T05:00:00"/>
    <s v="X-Ray"/>
    <s v="Accepted"/>
    <s v="Morning"/>
    <n v="10"/>
    <n v="8"/>
    <s v="Plan B"/>
    <x v="9"/>
  </r>
  <r>
    <x v="791"/>
    <x v="77"/>
    <x v="0"/>
    <x v="294"/>
    <d v="2024-06-21T00:00:00"/>
    <x v="1"/>
    <x v="5"/>
    <n v="4"/>
    <s v="Dr. Patel"/>
    <n v="18769"/>
    <x v="2"/>
    <x v="1"/>
    <x v="0"/>
    <d v="2024-06-14T00:00:00"/>
    <d v="2024-06-14T17:00:00"/>
    <s v="X-Ray"/>
    <s v="Accepted"/>
    <s v="Night"/>
    <n v="6"/>
    <n v="12"/>
    <s v="Plan B"/>
    <x v="17"/>
  </r>
  <r>
    <x v="792"/>
    <x v="86"/>
    <x v="3"/>
    <x v="39"/>
    <d v="2024-08-01T00:00:00"/>
    <x v="2"/>
    <x v="1"/>
    <n v="3"/>
    <s v="Dr. Gupta"/>
    <n v="34318"/>
    <x v="4"/>
    <x v="1"/>
    <x v="0"/>
    <d v="2024-03-01T00:00:00"/>
    <d v="2024-04-01T22:00:00"/>
    <s v="CT Scan"/>
    <s v="Accepted"/>
    <s v="Morning"/>
    <n v="9"/>
    <n v="10"/>
    <s v="Plan C"/>
    <x v="17"/>
  </r>
  <r>
    <x v="793"/>
    <x v="84"/>
    <x v="5"/>
    <x v="429"/>
    <d v="2024-07-06T00:00:00"/>
    <x v="14"/>
    <x v="3"/>
    <n v="2"/>
    <s v="Dr. Patel"/>
    <n v="29323"/>
    <x v="1"/>
    <x v="1"/>
    <x v="0"/>
    <d v="2024-05-23T00:00:00"/>
    <d v="2024-05-24T13:00:00"/>
    <s v="Ultrasound"/>
    <s v="Accepted"/>
    <s v="Morning"/>
    <n v="6"/>
    <n v="12"/>
    <s v="Plan C"/>
    <x v="12"/>
  </r>
  <r>
    <x v="794"/>
    <x v="84"/>
    <x v="0"/>
    <x v="224"/>
    <d v="2024-02-04T00:00:00"/>
    <x v="5"/>
    <x v="2"/>
    <n v="5"/>
    <s v="Dr. Rao"/>
    <n v="32610"/>
    <x v="1"/>
    <x v="1"/>
    <x v="0"/>
    <d v="2024-03-28T00:00:00"/>
    <d v="2024-03-29T17:00:00"/>
    <s v="CT Scan"/>
    <s v="Accepted"/>
    <s v="Afternoon"/>
    <n v="10"/>
    <n v="8"/>
    <s v="Plan C"/>
    <x v="16"/>
  </r>
  <r>
    <x v="795"/>
    <x v="68"/>
    <x v="1"/>
    <x v="218"/>
    <d v="2023-02-26T00:00:00"/>
    <x v="7"/>
    <x v="2"/>
    <n v="3"/>
    <s v="Dr. Rao"/>
    <n v="11963"/>
    <x v="3"/>
    <x v="0"/>
    <x v="1"/>
    <d v="2023-02-18T00:00:00"/>
    <d v="2023-02-18T05:00:00"/>
    <s v="CT Scan"/>
    <s v="Accepted"/>
    <s v="Morning"/>
    <n v="6"/>
    <n v="8"/>
    <s v="Plan C"/>
    <x v="7"/>
  </r>
  <r>
    <x v="796"/>
    <x v="73"/>
    <x v="3"/>
    <x v="217"/>
    <d v="2023-02-08T00:00:00"/>
    <x v="5"/>
    <x v="2"/>
    <n v="4"/>
    <s v="Dr. Gupta"/>
    <n v="12838"/>
    <x v="0"/>
    <x v="0"/>
    <x v="0"/>
    <d v="2023-07-23T00:00:00"/>
    <d v="2023-07-24T08:00:00"/>
    <s v="Blood Test"/>
    <s v="Accepted"/>
    <s v="Night"/>
    <n v="10"/>
    <n v="12"/>
    <s v="Plan A"/>
    <x v="11"/>
  </r>
  <r>
    <x v="797"/>
    <x v="45"/>
    <x v="1"/>
    <x v="53"/>
    <d v="2023-03-10T00:00:00"/>
    <x v="2"/>
    <x v="5"/>
    <n v="2"/>
    <s v="Dr. Sharma"/>
    <n v="17243"/>
    <x v="2"/>
    <x v="0"/>
    <x v="0"/>
    <d v="2023-09-30T00:00:00"/>
    <d v="2023-01-10T06:00:00"/>
    <s v="CT Scan"/>
    <s v="Accepted"/>
    <s v="Afternoon"/>
    <n v="9"/>
    <n v="10"/>
    <s v="Plan A"/>
    <x v="1"/>
  </r>
  <r>
    <x v="798"/>
    <x v="3"/>
    <x v="3"/>
    <x v="195"/>
    <d v="2023-05-16T00:00:00"/>
    <x v="4"/>
    <x v="1"/>
    <n v="1"/>
    <s v="Dr. Sharma"/>
    <n v="32939"/>
    <x v="2"/>
    <x v="1"/>
    <x v="1"/>
    <d v="2023-05-15T00:00:00"/>
    <d v="2023-05-16T09:00:00"/>
    <s v="X-Ray"/>
    <s v="Accepted"/>
    <s v="Night"/>
    <n v="4"/>
    <n v="10"/>
    <s v="Plan B"/>
    <x v="4"/>
  </r>
  <r>
    <x v="799"/>
    <x v="28"/>
    <x v="1"/>
    <x v="430"/>
    <d v="2023-10-26T00:00:00"/>
    <x v="7"/>
    <x v="2"/>
    <n v="3"/>
    <s v="Dr. Mehta"/>
    <n v="6845"/>
    <x v="3"/>
    <x v="0"/>
    <x v="0"/>
    <d v="2023-10-20T00:00:00"/>
    <d v="2023-10-21T00:00:00"/>
    <s v="MRI"/>
    <s v="Accepted"/>
    <s v="Morning"/>
    <n v="9"/>
    <n v="8"/>
    <s v="Plan A"/>
    <x v="15"/>
  </r>
  <r>
    <x v="800"/>
    <x v="78"/>
    <x v="0"/>
    <x v="124"/>
    <d v="2024-03-31T00:00:00"/>
    <x v="1"/>
    <x v="2"/>
    <n v="2"/>
    <s v="Dr. Gupta"/>
    <n v="21766"/>
    <x v="3"/>
    <x v="0"/>
    <x v="0"/>
    <d v="2024-03-21T00:00:00"/>
    <d v="2024-03-21T04:00:00"/>
    <s v="Blood Test"/>
    <s v="Accepted"/>
    <s v="Night"/>
    <n v="11"/>
    <n v="12"/>
    <s v="Plan B"/>
    <x v="16"/>
  </r>
  <r>
    <x v="801"/>
    <x v="4"/>
    <x v="3"/>
    <x v="307"/>
    <d v="2024-05-22T00:00:00"/>
    <x v="0"/>
    <x v="0"/>
    <n v="1"/>
    <s v="Dr. Patel"/>
    <n v="41880"/>
    <x v="0"/>
    <x v="0"/>
    <x v="0"/>
    <d v="2024-06-05T00:00:00"/>
    <d v="2024-07-05T08:00:00"/>
    <s v="Blood Test"/>
    <s v="Accepted"/>
    <s v="Night"/>
    <n v="4"/>
    <n v="12"/>
    <s v="Plan A"/>
    <x v="23"/>
  </r>
  <r>
    <x v="802"/>
    <x v="62"/>
    <x v="3"/>
    <x v="296"/>
    <d v="2023-05-18T00:00:00"/>
    <x v="14"/>
    <x v="3"/>
    <n v="3"/>
    <s v="Dr. Gupta"/>
    <n v="17780"/>
    <x v="0"/>
    <x v="1"/>
    <x v="0"/>
    <d v="2023-01-05T00:00:00"/>
    <d v="2023-02-05T13:00:00"/>
    <s v="Ultrasound"/>
    <s v="Accepted"/>
    <s v="Morning"/>
    <n v="8"/>
    <n v="8"/>
    <s v="Plan C"/>
    <x v="4"/>
  </r>
  <r>
    <x v="803"/>
    <x v="54"/>
    <x v="2"/>
    <x v="324"/>
    <d v="2023-09-02T00:00:00"/>
    <x v="12"/>
    <x v="0"/>
    <n v="2"/>
    <s v="Dr. Mehta"/>
    <n v="47856"/>
    <x v="1"/>
    <x v="1"/>
    <x v="1"/>
    <d v="2023-01-26T00:00:00"/>
    <d v="2023-01-26T11:00:00"/>
    <s v="MRI"/>
    <s v="Accepted"/>
    <s v="Morning"/>
    <n v="4"/>
    <n v="12"/>
    <s v="Plan C"/>
    <x v="1"/>
  </r>
  <r>
    <x v="804"/>
    <x v="24"/>
    <x v="2"/>
    <x v="110"/>
    <d v="2023-11-09T00:00:00"/>
    <x v="6"/>
    <x v="0"/>
    <n v="2"/>
    <s v="Dr. Gupta"/>
    <n v="6509"/>
    <x v="4"/>
    <x v="0"/>
    <x v="0"/>
    <d v="2023-03-09T00:00:00"/>
    <d v="2023-04-09T00:00:00"/>
    <s v="Blood Test"/>
    <s v="Accepted"/>
    <s v="Afternoon"/>
    <n v="5"/>
    <n v="8"/>
    <s v="Plan A"/>
    <x v="5"/>
  </r>
  <r>
    <x v="805"/>
    <x v="3"/>
    <x v="4"/>
    <x v="303"/>
    <d v="2023-06-14T00:00:00"/>
    <x v="2"/>
    <x v="3"/>
    <n v="3"/>
    <s v="Dr. Gupta"/>
    <n v="28957"/>
    <x v="0"/>
    <x v="1"/>
    <x v="0"/>
    <d v="2023-12-06T00:00:00"/>
    <d v="2023-12-06T11:00:00"/>
    <s v="CT Scan"/>
    <s v="Accepted"/>
    <s v="Afternoon"/>
    <n v="11"/>
    <n v="10"/>
    <s v="Plan A"/>
    <x v="9"/>
  </r>
  <r>
    <x v="806"/>
    <x v="11"/>
    <x v="1"/>
    <x v="344"/>
    <d v="2023-11-17T00:00:00"/>
    <x v="2"/>
    <x v="1"/>
    <n v="2"/>
    <s v="Dr. Mehta"/>
    <n v="39346"/>
    <x v="3"/>
    <x v="1"/>
    <x v="0"/>
    <d v="2023-11-14T00:00:00"/>
    <d v="2023-11-14T17:00:00"/>
    <s v="Blood Test"/>
    <s v="Accepted"/>
    <s v="Afternoon"/>
    <n v="5"/>
    <n v="10"/>
    <s v="Plan B"/>
    <x v="14"/>
  </r>
  <r>
    <x v="807"/>
    <x v="4"/>
    <x v="2"/>
    <x v="380"/>
    <d v="2023-01-29T00:00:00"/>
    <x v="13"/>
    <x v="0"/>
    <n v="5"/>
    <s v="Dr. Sharma"/>
    <n v="22263"/>
    <x v="0"/>
    <x v="0"/>
    <x v="0"/>
    <d v="2023-11-01T00:00:00"/>
    <d v="2023-11-01T07:00:00"/>
    <s v="Blood Test"/>
    <s v="Rejected"/>
    <s v="Morning"/>
    <n v="11"/>
    <n v="12"/>
    <s v="Plan B"/>
    <x v="1"/>
  </r>
  <r>
    <x v="808"/>
    <x v="76"/>
    <x v="4"/>
    <x v="314"/>
    <d v="2024-08-03T00:00:00"/>
    <x v="8"/>
    <x v="1"/>
    <n v="3"/>
    <s v="Dr. Patel"/>
    <n v="31148"/>
    <x v="2"/>
    <x v="0"/>
    <x v="1"/>
    <d v="2024-02-17T00:00:00"/>
    <d v="2024-02-18T13:00:00"/>
    <s v="Blood Test"/>
    <s v="Accepted"/>
    <s v="Night"/>
    <n v="9"/>
    <n v="10"/>
    <s v="Plan B"/>
    <x v="19"/>
  </r>
  <r>
    <x v="809"/>
    <x v="60"/>
    <x v="2"/>
    <x v="11"/>
    <d v="2023-04-14T00:00:00"/>
    <x v="6"/>
    <x v="0"/>
    <n v="2"/>
    <s v="Dr. Mehta"/>
    <n v="36533"/>
    <x v="4"/>
    <x v="0"/>
    <x v="1"/>
    <d v="2023-01-04T00:00:00"/>
    <d v="2023-02-04T20:00:00"/>
    <s v="Ultrasound"/>
    <s v="Rejected"/>
    <s v="Night"/>
    <n v="5"/>
    <n v="10"/>
    <s v="Plan C"/>
    <x v="8"/>
  </r>
  <r>
    <x v="810"/>
    <x v="62"/>
    <x v="1"/>
    <x v="129"/>
    <d v="2023-08-29T00:00:00"/>
    <x v="12"/>
    <x v="4"/>
    <n v="1"/>
    <s v="Dr. Rao"/>
    <n v="47608"/>
    <x v="1"/>
    <x v="0"/>
    <x v="0"/>
    <d v="2023-08-15T00:00:00"/>
    <d v="2023-08-16T23:00:00"/>
    <s v="Blood Test"/>
    <s v="Accepted"/>
    <s v="Afternoon"/>
    <n v="5"/>
    <n v="8"/>
    <s v="Plan C"/>
    <x v="3"/>
  </r>
  <r>
    <x v="811"/>
    <x v="64"/>
    <x v="3"/>
    <x v="388"/>
    <d v="2023-06-05T00:00:00"/>
    <x v="9"/>
    <x v="3"/>
    <n v="1"/>
    <s v="Dr. Sharma"/>
    <n v="17931"/>
    <x v="2"/>
    <x v="1"/>
    <x v="0"/>
    <d v="2023-04-26T00:00:00"/>
    <d v="2023-04-26T08:00:00"/>
    <s v="Blood Test"/>
    <s v="Accepted"/>
    <s v="Afternoon"/>
    <n v="8"/>
    <n v="8"/>
    <s v="Plan C"/>
    <x v="0"/>
  </r>
  <r>
    <x v="812"/>
    <x v="87"/>
    <x v="5"/>
    <x v="329"/>
    <d v="2024-04-18T00:00:00"/>
    <x v="4"/>
    <x v="0"/>
    <n v="5"/>
    <s v="Dr. Rao"/>
    <n v="6359"/>
    <x v="2"/>
    <x v="1"/>
    <x v="0"/>
    <d v="2024-04-14T00:00:00"/>
    <d v="2024-04-14T15:00:00"/>
    <s v="Ultrasound"/>
    <s v="Accepted"/>
    <s v="Morning"/>
    <n v="5"/>
    <n v="12"/>
    <s v="Plan C"/>
    <x v="13"/>
  </r>
  <r>
    <x v="813"/>
    <x v="49"/>
    <x v="1"/>
    <x v="431"/>
    <d v="2023-12-05T00:00:00"/>
    <x v="0"/>
    <x v="4"/>
    <n v="3"/>
    <s v="Dr. Sharma"/>
    <n v="29532"/>
    <x v="4"/>
    <x v="1"/>
    <x v="1"/>
    <d v="2023-04-30T00:00:00"/>
    <d v="2023-02-05T00:00:00"/>
    <s v="MRI"/>
    <s v="Accepted"/>
    <s v="Night"/>
    <n v="7"/>
    <n v="8"/>
    <s v="Plan B"/>
    <x v="1"/>
  </r>
  <r>
    <x v="814"/>
    <x v="22"/>
    <x v="0"/>
    <x v="432"/>
    <d v="2023-06-16T00:00:00"/>
    <x v="9"/>
    <x v="5"/>
    <n v="2"/>
    <s v="Dr. Patel"/>
    <n v="25344"/>
    <x v="1"/>
    <x v="1"/>
    <x v="0"/>
    <d v="2023-05-06T00:00:00"/>
    <d v="2023-06-06T09:00:00"/>
    <s v="X-Ray"/>
    <s v="Accepted"/>
    <s v="Afternoon"/>
    <n v="7"/>
    <n v="12"/>
    <s v="Plan C"/>
    <x v="11"/>
  </r>
  <r>
    <x v="815"/>
    <x v="42"/>
    <x v="2"/>
    <x v="429"/>
    <d v="2024-04-06T00:00:00"/>
    <x v="12"/>
    <x v="4"/>
    <n v="2"/>
    <s v="Dr. Patel"/>
    <n v="9242"/>
    <x v="3"/>
    <x v="1"/>
    <x v="0"/>
    <d v="2024-05-23T00:00:00"/>
    <d v="2024-05-23T01:00:00"/>
    <s v="Ultrasound"/>
    <s v="Accepted"/>
    <s v="Morning"/>
    <n v="7"/>
    <n v="12"/>
    <s v="Plan C"/>
    <x v="12"/>
  </r>
  <r>
    <x v="816"/>
    <x v="58"/>
    <x v="2"/>
    <x v="404"/>
    <d v="2023-10-30T00:00:00"/>
    <x v="7"/>
    <x v="2"/>
    <n v="1"/>
    <s v="Dr. Gupta"/>
    <n v="25601"/>
    <x v="1"/>
    <x v="1"/>
    <x v="0"/>
    <d v="2023-10-26T00:00:00"/>
    <d v="2023-10-26T03:00:00"/>
    <s v="Ultrasound"/>
    <s v="Accepted"/>
    <s v="Afternoon"/>
    <n v="4"/>
    <n v="8"/>
    <s v="Plan C"/>
    <x v="15"/>
  </r>
  <r>
    <x v="817"/>
    <x v="68"/>
    <x v="3"/>
    <x v="81"/>
    <d v="2024-06-17T00:00:00"/>
    <x v="11"/>
    <x v="0"/>
    <n v="5"/>
    <s v="Dr. Rao"/>
    <n v="24116"/>
    <x v="0"/>
    <x v="1"/>
    <x v="1"/>
    <d v="2024-04-06T00:00:00"/>
    <d v="2024-04-06T01:00:00"/>
    <s v="Blood Test"/>
    <s v="Accepted"/>
    <s v="Morning"/>
    <n v="9"/>
    <n v="10"/>
    <s v="Plan C"/>
    <x v="12"/>
  </r>
  <r>
    <x v="818"/>
    <x v="31"/>
    <x v="0"/>
    <x v="323"/>
    <d v="2023-10-10T00:00:00"/>
    <x v="3"/>
    <x v="4"/>
    <n v="1"/>
    <s v="Dr. Sharma"/>
    <n v="40477"/>
    <x v="2"/>
    <x v="0"/>
    <x v="0"/>
    <d v="2023-06-10T00:00:00"/>
    <d v="2023-06-10T16:00:00"/>
    <s v="Blood Test"/>
    <s v="Accepted"/>
    <s v="Night"/>
    <n v="9"/>
    <n v="10"/>
    <s v="Plan A"/>
    <x v="11"/>
  </r>
  <r>
    <x v="819"/>
    <x v="55"/>
    <x v="3"/>
    <x v="316"/>
    <d v="2024-06-03T00:00:00"/>
    <x v="5"/>
    <x v="1"/>
    <n v="1"/>
    <s v="Dr. Patel"/>
    <n v="35782"/>
    <x v="0"/>
    <x v="0"/>
    <x v="0"/>
    <d v="2024-02-25T00:00:00"/>
    <d v="2024-02-25T03:00:00"/>
    <s v="X-Ray"/>
    <s v="Accepted"/>
    <s v="Morning"/>
    <n v="6"/>
    <n v="10"/>
    <s v="Plan B"/>
    <x v="10"/>
  </r>
  <r>
    <x v="820"/>
    <x v="27"/>
    <x v="0"/>
    <x v="433"/>
    <d v="2024-05-16T00:00:00"/>
    <x v="1"/>
    <x v="5"/>
    <n v="5"/>
    <s v="Dr. Mehta"/>
    <n v="23880"/>
    <x v="3"/>
    <x v="0"/>
    <x v="0"/>
    <d v="2024-09-05T00:00:00"/>
    <d v="2024-10-05T07:00:00"/>
    <s v="Blood Test"/>
    <s v="Accepted"/>
    <s v="Afternoon"/>
    <n v="8"/>
    <n v="10"/>
    <s v="Plan B"/>
    <x v="18"/>
  </r>
  <r>
    <x v="821"/>
    <x v="67"/>
    <x v="5"/>
    <x v="434"/>
    <d v="2024-04-29T00:00:00"/>
    <x v="4"/>
    <x v="0"/>
    <n v="3"/>
    <s v="Dr. Patel"/>
    <n v="8499"/>
    <x v="0"/>
    <x v="0"/>
    <x v="0"/>
    <d v="2024-04-23T00:00:00"/>
    <d v="2024-04-24T00:00:00"/>
    <s v="CT Scan"/>
    <s v="Accepted"/>
    <s v="Afternoon"/>
    <n v="7"/>
    <n v="12"/>
    <s v="Plan C"/>
    <x v="13"/>
  </r>
  <r>
    <x v="822"/>
    <x v="77"/>
    <x v="2"/>
    <x v="290"/>
    <d v="2023-09-17T00:00:00"/>
    <x v="12"/>
    <x v="2"/>
    <n v="2"/>
    <s v="Dr. Mehta"/>
    <n v="36587"/>
    <x v="1"/>
    <x v="1"/>
    <x v="0"/>
    <d v="2023-04-09T00:00:00"/>
    <d v="2023-05-09T01:00:00"/>
    <s v="Blood Test"/>
    <s v="Accepted"/>
    <s v="Night"/>
    <n v="7"/>
    <n v="10"/>
    <s v="Plan A"/>
    <x v="11"/>
  </r>
  <r>
    <x v="823"/>
    <x v="48"/>
    <x v="2"/>
    <x v="297"/>
    <d v="2024-04-18T00:00:00"/>
    <x v="10"/>
    <x v="4"/>
    <n v="3"/>
    <s v="Dr. Sharma"/>
    <n v="49458"/>
    <x v="0"/>
    <x v="0"/>
    <x v="0"/>
    <d v="2024-11-04T00:00:00"/>
    <d v="2024-11-04T10:00:00"/>
    <s v="Blood Test"/>
    <s v="Accepted"/>
    <s v="Night"/>
    <n v="5"/>
    <n v="12"/>
    <s v="Plan B"/>
    <x v="22"/>
  </r>
  <r>
    <x v="824"/>
    <x v="51"/>
    <x v="5"/>
    <x v="435"/>
    <d v="2023-02-06T00:00:00"/>
    <x v="7"/>
    <x v="5"/>
    <n v="4"/>
    <s v="Dr. Patel"/>
    <n v="31020"/>
    <x v="3"/>
    <x v="1"/>
    <x v="0"/>
    <d v="2023-05-24T00:00:00"/>
    <d v="2023-05-24T12:00:00"/>
    <s v="CT Scan"/>
    <s v="Accepted"/>
    <s v="Afternoon"/>
    <n v="7"/>
    <n v="8"/>
    <s v="Plan B"/>
    <x v="4"/>
  </r>
  <r>
    <x v="825"/>
    <x v="3"/>
    <x v="4"/>
    <x v="313"/>
    <d v="2024-07-02T00:00:00"/>
    <x v="12"/>
    <x v="0"/>
    <n v="4"/>
    <s v="Dr. Patel"/>
    <n v="13080"/>
    <x v="3"/>
    <x v="0"/>
    <x v="1"/>
    <d v="2024-01-24T00:00:00"/>
    <d v="2024-01-24T03:00:00"/>
    <s v="X-Ray"/>
    <s v="Accepted"/>
    <s v="Afternoon"/>
    <n v="5"/>
    <n v="8"/>
    <s v="Plan C"/>
    <x v="10"/>
  </r>
  <r>
    <x v="826"/>
    <x v="43"/>
    <x v="3"/>
    <x v="363"/>
    <d v="2023-07-22T00:00:00"/>
    <x v="1"/>
    <x v="5"/>
    <n v="4"/>
    <s v="Dr. Sharma"/>
    <n v="28207"/>
    <x v="3"/>
    <x v="0"/>
    <x v="0"/>
    <d v="2023-10-07T00:00:00"/>
    <d v="2023-11-07T12:00:00"/>
    <s v="CT Scan"/>
    <s v="Accepted"/>
    <s v="Afternoon"/>
    <n v="5"/>
    <n v="12"/>
    <s v="Plan C"/>
    <x v="11"/>
  </r>
  <r>
    <x v="827"/>
    <x v="55"/>
    <x v="5"/>
    <x v="183"/>
    <d v="2024-07-06T00:00:00"/>
    <x v="3"/>
    <x v="2"/>
    <n v="5"/>
    <s v="Dr. Patel"/>
    <n v="38957"/>
    <x v="1"/>
    <x v="0"/>
    <x v="1"/>
    <d v="2024-03-06T00:00:00"/>
    <d v="2024-04-06T22:00:00"/>
    <s v="Ultrasound"/>
    <s v="Accepted"/>
    <s v="Night"/>
    <n v="6"/>
    <n v="10"/>
    <s v="Plan B"/>
    <x v="13"/>
  </r>
  <r>
    <x v="828"/>
    <x v="44"/>
    <x v="3"/>
    <x v="436"/>
    <d v="2023-05-31T00:00:00"/>
    <x v="0"/>
    <x v="4"/>
    <n v="1"/>
    <s v="Dr. Mehta"/>
    <n v="18908"/>
    <x v="3"/>
    <x v="1"/>
    <x v="0"/>
    <d v="2023-05-17T00:00:00"/>
    <d v="2023-05-19T00:00:00"/>
    <s v="CT Scan"/>
    <s v="Accepted"/>
    <s v="Afternoon"/>
    <n v="4"/>
    <n v="12"/>
    <s v="Plan B"/>
    <x v="4"/>
  </r>
  <r>
    <x v="829"/>
    <x v="60"/>
    <x v="1"/>
    <x v="41"/>
    <d v="2023-03-24T00:00:00"/>
    <x v="0"/>
    <x v="5"/>
    <n v="3"/>
    <s v="Dr. Patel"/>
    <n v="35652"/>
    <x v="2"/>
    <x v="1"/>
    <x v="0"/>
    <d v="2023-12-03T00:00:00"/>
    <d v="2023-03-13T18:00:00"/>
    <s v="MRI"/>
    <s v="Accepted"/>
    <s v="Night"/>
    <n v="5"/>
    <n v="10"/>
    <s v="Plan A"/>
    <x v="5"/>
  </r>
  <r>
    <x v="830"/>
    <x v="40"/>
    <x v="2"/>
    <x v="361"/>
    <d v="2023-12-10T00:00:00"/>
    <x v="2"/>
    <x v="5"/>
    <n v="2"/>
    <s v="Dr. Rao"/>
    <n v="35344"/>
    <x v="3"/>
    <x v="1"/>
    <x v="0"/>
    <d v="2023-06-10T00:00:00"/>
    <d v="2023-07-10T03:00:00"/>
    <s v="Ultrasound"/>
    <s v="Accepted"/>
    <s v="Afternoon"/>
    <n v="5"/>
    <n v="10"/>
    <s v="Plan B"/>
    <x v="15"/>
  </r>
  <r>
    <x v="831"/>
    <x v="0"/>
    <x v="3"/>
    <x v="286"/>
    <d v="2024-09-03T00:00:00"/>
    <x v="9"/>
    <x v="3"/>
    <n v="4"/>
    <s v="Dr. Gupta"/>
    <n v="30034"/>
    <x v="0"/>
    <x v="1"/>
    <x v="0"/>
    <d v="2024-02-27T00:00:00"/>
    <d v="2024-02-27T15:00:00"/>
    <s v="Blood Test"/>
    <s v="Accepted"/>
    <s v="Morning"/>
    <n v="9"/>
    <n v="12"/>
    <s v="Plan B"/>
    <x v="19"/>
  </r>
  <r>
    <x v="832"/>
    <x v="69"/>
    <x v="0"/>
    <x v="23"/>
    <d v="2023-12-21T00:00:00"/>
    <x v="10"/>
    <x v="5"/>
    <n v="3"/>
    <s v="Dr. Mehta"/>
    <n v="30788"/>
    <x v="0"/>
    <x v="1"/>
    <x v="1"/>
    <d v="2023-12-13T00:00:00"/>
    <d v="2023-12-13T21:00:00"/>
    <s v="Ultrasound"/>
    <s v="Accepted"/>
    <s v="Morning"/>
    <n v="6"/>
    <n v="12"/>
    <s v="Plan C"/>
    <x v="9"/>
  </r>
  <r>
    <x v="833"/>
    <x v="27"/>
    <x v="3"/>
    <x v="99"/>
    <d v="2024-05-06T00:00:00"/>
    <x v="2"/>
    <x v="3"/>
    <n v="4"/>
    <s v="Dr. Rao"/>
    <n v="17751"/>
    <x v="0"/>
    <x v="1"/>
    <x v="0"/>
    <d v="2024-05-31T00:00:00"/>
    <d v="2024-05-31T16:00:00"/>
    <s v="X-Ray"/>
    <s v="Accepted"/>
    <s v="Afternoon"/>
    <n v="5"/>
    <n v="10"/>
    <s v="Plan B"/>
    <x v="16"/>
  </r>
  <r>
    <x v="834"/>
    <x v="77"/>
    <x v="1"/>
    <x v="53"/>
    <d v="2023-10-10T00:00:00"/>
    <x v="9"/>
    <x v="4"/>
    <n v="4"/>
    <s v="Dr. Sharma"/>
    <n v="38793"/>
    <x v="1"/>
    <x v="1"/>
    <x v="0"/>
    <d v="2023-09-28T00:00:00"/>
    <d v="2023-09-29T03:00:00"/>
    <s v="X-Ray"/>
    <s v="Accepted"/>
    <s v="Morning"/>
    <n v="8"/>
    <n v="12"/>
    <s v="Plan C"/>
    <x v="1"/>
  </r>
  <r>
    <x v="835"/>
    <x v="67"/>
    <x v="2"/>
    <x v="171"/>
    <d v="2023-12-01T00:00:00"/>
    <x v="9"/>
    <x v="0"/>
    <n v="2"/>
    <s v="Dr. Mehta"/>
    <n v="37839"/>
    <x v="0"/>
    <x v="1"/>
    <x v="1"/>
    <d v="2022-12-30T00:00:00"/>
    <d v="2022-12-31T23:00:00"/>
    <s v="CT Scan"/>
    <s v="Accepted"/>
    <s v="Night"/>
    <n v="4"/>
    <n v="10"/>
    <s v="Plan B"/>
    <x v="5"/>
  </r>
  <r>
    <x v="836"/>
    <x v="35"/>
    <x v="5"/>
    <x v="376"/>
    <d v="2023-10-26T00:00:00"/>
    <x v="9"/>
    <x v="0"/>
    <n v="5"/>
    <s v="Dr. Gupta"/>
    <n v="43314"/>
    <x v="1"/>
    <x v="0"/>
    <x v="0"/>
    <d v="2023-12-10T00:00:00"/>
    <d v="2023-12-10T21:00:00"/>
    <s v="Ultrasound"/>
    <s v="Accepted"/>
    <s v="Morning"/>
    <n v="11"/>
    <n v="12"/>
    <s v="Plan B"/>
    <x v="15"/>
  </r>
  <r>
    <x v="837"/>
    <x v="63"/>
    <x v="1"/>
    <x v="101"/>
    <d v="2023-11-15T00:00:00"/>
    <x v="14"/>
    <x v="4"/>
    <n v="1"/>
    <s v="Dr. Gupta"/>
    <n v="40453"/>
    <x v="1"/>
    <x v="1"/>
    <x v="1"/>
    <d v="2023-10-31T00:00:00"/>
    <d v="2023-10-31T18:00:00"/>
    <s v="Blood Test"/>
    <s v="Rejected"/>
    <s v="Morning"/>
    <n v="8"/>
    <n v="8"/>
    <s v="Plan B"/>
    <x v="7"/>
  </r>
  <r>
    <x v="838"/>
    <x v="6"/>
    <x v="2"/>
    <x v="351"/>
    <d v="2024-05-25T00:00:00"/>
    <x v="9"/>
    <x v="4"/>
    <n v="5"/>
    <s v="Dr. Sharma"/>
    <n v="14385"/>
    <x v="3"/>
    <x v="0"/>
    <x v="0"/>
    <d v="2024-05-14T00:00:00"/>
    <d v="2024-05-14T05:00:00"/>
    <s v="X-Ray"/>
    <s v="Accepted"/>
    <s v="Night"/>
    <n v="7"/>
    <n v="10"/>
    <s v="Plan A"/>
    <x v="12"/>
  </r>
  <r>
    <x v="839"/>
    <x v="42"/>
    <x v="3"/>
    <x v="226"/>
    <d v="2023-11-06T00:00:00"/>
    <x v="9"/>
    <x v="1"/>
    <n v="3"/>
    <s v="Dr. Sharma"/>
    <n v="23232"/>
    <x v="2"/>
    <x v="0"/>
    <x v="0"/>
    <d v="2023-05-31T00:00:00"/>
    <d v="2023-01-06T13:00:00"/>
    <s v="Blood Test"/>
    <s v="Accepted"/>
    <s v="Morning"/>
    <n v="4"/>
    <n v="8"/>
    <s v="Plan C"/>
    <x v="7"/>
  </r>
  <r>
    <x v="840"/>
    <x v="8"/>
    <x v="4"/>
    <x v="437"/>
    <d v="2024-03-04T00:00:00"/>
    <x v="4"/>
    <x v="4"/>
    <n v="5"/>
    <s v="Dr. Mehta"/>
    <n v="48344"/>
    <x v="3"/>
    <x v="1"/>
    <x v="1"/>
    <d v="2024-03-31T00:00:00"/>
    <d v="2024-01-04T00:00:00"/>
    <s v="MRI"/>
    <s v="Accepted"/>
    <s v="Morning"/>
    <n v="7"/>
    <n v="12"/>
    <s v="Plan A"/>
    <x v="19"/>
  </r>
  <r>
    <x v="841"/>
    <x v="13"/>
    <x v="4"/>
    <x v="354"/>
    <d v="2024-05-17T00:00:00"/>
    <x v="1"/>
    <x v="5"/>
    <n v="3"/>
    <s v="Dr. Patel"/>
    <n v="39790"/>
    <x v="3"/>
    <x v="0"/>
    <x v="0"/>
    <d v="2024-06-05T00:00:00"/>
    <d v="2024-06-05T08:00:00"/>
    <s v="X-Ray"/>
    <s v="Accepted"/>
    <s v="Afternoon"/>
    <n v="9"/>
    <n v="8"/>
    <s v="Plan B"/>
    <x v="20"/>
  </r>
  <r>
    <x v="842"/>
    <x v="55"/>
    <x v="0"/>
    <x v="257"/>
    <d v="2024-03-01T00:00:00"/>
    <x v="13"/>
    <x v="0"/>
    <n v="3"/>
    <s v="Dr. Sharma"/>
    <n v="20831"/>
    <x v="1"/>
    <x v="1"/>
    <x v="1"/>
    <d v="2023-12-17T00:00:00"/>
    <d v="2023-12-18T09:00:00"/>
    <s v="CT Scan"/>
    <s v="Accepted"/>
    <s v="Night"/>
    <n v="10"/>
    <n v="12"/>
    <s v="Plan A"/>
    <x v="9"/>
  </r>
  <r>
    <x v="843"/>
    <x v="35"/>
    <x v="2"/>
    <x v="238"/>
    <d v="2023-12-15T00:00:00"/>
    <x v="6"/>
    <x v="2"/>
    <n v="1"/>
    <s v="Dr. Patel"/>
    <n v="25125"/>
    <x v="1"/>
    <x v="1"/>
    <x v="1"/>
    <d v="2023-04-12T00:00:00"/>
    <d v="2023-05-12T20:00:00"/>
    <s v="MRI"/>
    <s v="Accepted"/>
    <s v="Night"/>
    <n v="10"/>
    <n v="10"/>
    <s v="Plan C"/>
    <x v="11"/>
  </r>
  <r>
    <x v="844"/>
    <x v="23"/>
    <x v="4"/>
    <x v="438"/>
    <d v="2024-01-23T00:00:00"/>
    <x v="4"/>
    <x v="0"/>
    <n v="2"/>
    <s v="Dr. Rao"/>
    <n v="22682"/>
    <x v="0"/>
    <x v="1"/>
    <x v="1"/>
    <d v="2024-01-22T00:00:00"/>
    <d v="2024-01-22T04:00:00"/>
    <s v="Ultrasound"/>
    <s v="Accepted"/>
    <s v="Afternoon"/>
    <n v="10"/>
    <n v="12"/>
    <s v="Plan B"/>
    <x v="10"/>
  </r>
  <r>
    <x v="845"/>
    <x v="77"/>
    <x v="5"/>
    <x v="285"/>
    <d v="2024-04-22T00:00:00"/>
    <x v="0"/>
    <x v="3"/>
    <n v="1"/>
    <s v="Dr. Gupta"/>
    <n v="41870"/>
    <x v="0"/>
    <x v="1"/>
    <x v="0"/>
    <d v="2024-06-04T00:00:00"/>
    <d v="2024-06-04T12:00:00"/>
    <s v="Blood Test"/>
    <s v="Accepted"/>
    <s v="Afternoon"/>
    <n v="5"/>
    <n v="12"/>
    <s v="Plan A"/>
    <x v="23"/>
  </r>
  <r>
    <x v="846"/>
    <x v="30"/>
    <x v="2"/>
    <x v="275"/>
    <d v="2023-03-12T00:00:00"/>
    <x v="1"/>
    <x v="0"/>
    <n v="5"/>
    <s v="Dr. Patel"/>
    <n v="22288"/>
    <x v="3"/>
    <x v="1"/>
    <x v="0"/>
    <d v="2023-11-23T00:00:00"/>
    <d v="2023-11-23T15:00:00"/>
    <s v="X-Ray"/>
    <s v="Accepted"/>
    <s v="Morning"/>
    <n v="6"/>
    <n v="10"/>
    <s v="Plan A"/>
    <x v="14"/>
  </r>
  <r>
    <x v="847"/>
    <x v="10"/>
    <x v="5"/>
    <x v="439"/>
    <d v="2023-07-19T00:00:00"/>
    <x v="10"/>
    <x v="1"/>
    <n v="3"/>
    <s v="Dr. Gupta"/>
    <n v="40794"/>
    <x v="4"/>
    <x v="1"/>
    <x v="0"/>
    <d v="2023-11-07T00:00:00"/>
    <d v="2023-12-07T10:00:00"/>
    <s v="MRI"/>
    <s v="Accepted"/>
    <s v="Morning"/>
    <n v="8"/>
    <n v="12"/>
    <s v="Plan C"/>
    <x v="11"/>
  </r>
  <r>
    <x v="848"/>
    <x v="65"/>
    <x v="5"/>
    <x v="194"/>
    <d v="2023-07-09T00:00:00"/>
    <x v="5"/>
    <x v="4"/>
    <n v="4"/>
    <s v="Dr. Patel"/>
    <n v="44477"/>
    <x v="4"/>
    <x v="1"/>
    <x v="1"/>
    <d v="2023-01-09T00:00:00"/>
    <d v="2023-01-09T03:00:00"/>
    <s v="MRI"/>
    <s v="Accepted"/>
    <s v="Morning"/>
    <n v="7"/>
    <n v="10"/>
    <s v="Plan A"/>
    <x v="7"/>
  </r>
  <r>
    <x v="849"/>
    <x v="33"/>
    <x v="4"/>
    <x v="313"/>
    <d v="2024-09-02T00:00:00"/>
    <x v="11"/>
    <x v="4"/>
    <n v="4"/>
    <s v="Dr. Rao"/>
    <n v="29405"/>
    <x v="0"/>
    <x v="1"/>
    <x v="1"/>
    <d v="2024-01-26T00:00:00"/>
    <d v="2024-01-27T02:00:00"/>
    <s v="X-Ray"/>
    <s v="Rejected"/>
    <s v="Afternoon"/>
    <n v="5"/>
    <n v="12"/>
    <s v="Plan C"/>
    <x v="10"/>
  </r>
  <r>
    <x v="850"/>
    <x v="15"/>
    <x v="2"/>
    <x v="408"/>
    <d v="2023-08-29T00:00:00"/>
    <x v="4"/>
    <x v="0"/>
    <n v="3"/>
    <s v="Dr. Sharma"/>
    <n v="43737"/>
    <x v="4"/>
    <x v="1"/>
    <x v="0"/>
    <d v="2023-08-26T00:00:00"/>
    <d v="2023-08-26T05:00:00"/>
    <s v="Ultrasound"/>
    <s v="Accepted"/>
    <s v="Night"/>
    <n v="10"/>
    <n v="10"/>
    <s v="Plan B"/>
    <x v="3"/>
  </r>
  <r>
    <x v="851"/>
    <x v="1"/>
    <x v="3"/>
    <x v="150"/>
    <d v="2024-02-03T00:00:00"/>
    <x v="10"/>
    <x v="2"/>
    <n v="1"/>
    <s v="Dr. Rao"/>
    <n v="7620"/>
    <x v="0"/>
    <x v="1"/>
    <x v="0"/>
    <d v="2024-02-22T00:00:00"/>
    <d v="2024-02-23T06:00:00"/>
    <s v="Ultrasound"/>
    <s v="Accepted"/>
    <s v="Morning"/>
    <n v="8"/>
    <n v="8"/>
    <s v="Plan B"/>
    <x v="19"/>
  </r>
  <r>
    <x v="852"/>
    <x v="16"/>
    <x v="1"/>
    <x v="33"/>
    <d v="2023-02-27T00:00:00"/>
    <x v="14"/>
    <x v="2"/>
    <n v="2"/>
    <s v="Dr. Sharma"/>
    <n v="40414"/>
    <x v="1"/>
    <x v="1"/>
    <x v="0"/>
    <d v="2023-02-14T00:00:00"/>
    <d v="2023-02-14T19:00:00"/>
    <s v="CT Scan"/>
    <s v="Accepted"/>
    <s v="Afternoon"/>
    <n v="8"/>
    <n v="12"/>
    <s v="Plan A"/>
    <x v="7"/>
  </r>
  <r>
    <x v="853"/>
    <x v="21"/>
    <x v="4"/>
    <x v="440"/>
    <d v="2023-11-24T00:00:00"/>
    <x v="2"/>
    <x v="1"/>
    <n v="1"/>
    <s v="Dr. Sharma"/>
    <n v="42633"/>
    <x v="3"/>
    <x v="1"/>
    <x v="1"/>
    <d v="2023-11-18T00:00:00"/>
    <d v="2023-11-18T20:00:00"/>
    <s v="Ultrasound"/>
    <s v="Accepted"/>
    <s v="Night"/>
    <n v="9"/>
    <n v="12"/>
    <s v="Plan B"/>
    <x v="14"/>
  </r>
  <r>
    <x v="854"/>
    <x v="63"/>
    <x v="4"/>
    <x v="143"/>
    <d v="2024-05-05T00:00:00"/>
    <x v="10"/>
    <x v="3"/>
    <n v="3"/>
    <s v="Dr. Gupta"/>
    <n v="40057"/>
    <x v="2"/>
    <x v="1"/>
    <x v="0"/>
    <d v="2024-04-28T00:00:00"/>
    <d v="2024-04-28T21:00:00"/>
    <s v="CT Scan"/>
    <s v="Accepted"/>
    <s v="Afternoon"/>
    <n v="9"/>
    <n v="12"/>
    <s v="Plan B"/>
    <x v="13"/>
  </r>
  <r>
    <x v="855"/>
    <x v="50"/>
    <x v="3"/>
    <x v="89"/>
    <d v="2024-01-30T00:00:00"/>
    <x v="7"/>
    <x v="0"/>
    <n v="3"/>
    <s v="Dr. Rao"/>
    <n v="45138"/>
    <x v="3"/>
    <x v="1"/>
    <x v="0"/>
    <d v="2024-01-21T00:00:00"/>
    <d v="2024-01-21T06:00:00"/>
    <s v="MRI"/>
    <s v="Accepted"/>
    <s v="Morning"/>
    <n v="10"/>
    <n v="10"/>
    <s v="Plan A"/>
    <x v="10"/>
  </r>
  <r>
    <x v="856"/>
    <x v="32"/>
    <x v="2"/>
    <x v="441"/>
    <d v="2024-12-02T00:00:00"/>
    <x v="11"/>
    <x v="4"/>
    <n v="2"/>
    <s v="Dr. Patel"/>
    <n v="18854"/>
    <x v="0"/>
    <x v="1"/>
    <x v="0"/>
    <d v="2024-01-30T00:00:00"/>
    <d v="2024-01-31T12:00:00"/>
    <s v="X-Ray"/>
    <s v="Accepted"/>
    <s v="Afternoon"/>
    <n v="7"/>
    <n v="12"/>
    <s v="Plan B"/>
    <x v="10"/>
  </r>
  <r>
    <x v="857"/>
    <x v="75"/>
    <x v="2"/>
    <x v="392"/>
    <d v="2023-06-16T00:00:00"/>
    <x v="0"/>
    <x v="0"/>
    <n v="5"/>
    <s v="Dr. Rao"/>
    <n v="14677"/>
    <x v="0"/>
    <x v="0"/>
    <x v="0"/>
    <d v="2023-05-06T00:00:00"/>
    <d v="2023-06-06T06:00:00"/>
    <s v="Ultrasound"/>
    <s v="Accepted"/>
    <s v="Afternoon"/>
    <n v="10"/>
    <n v="10"/>
    <s v="Plan A"/>
    <x v="4"/>
  </r>
  <r>
    <x v="858"/>
    <x v="80"/>
    <x v="5"/>
    <x v="424"/>
    <d v="2024-02-06T00:00:00"/>
    <x v="0"/>
    <x v="1"/>
    <n v="5"/>
    <s v="Dr. Gupta"/>
    <n v="49111"/>
    <x v="3"/>
    <x v="1"/>
    <x v="1"/>
    <d v="2024-05-20T00:00:00"/>
    <d v="2024-05-20T01:00:00"/>
    <s v="CT Scan"/>
    <s v="Accepted"/>
    <s v="Afternoon"/>
    <n v="10"/>
    <n v="12"/>
    <s v="Plan C"/>
    <x v="12"/>
  </r>
  <r>
    <x v="859"/>
    <x v="67"/>
    <x v="3"/>
    <x v="425"/>
    <d v="2023-09-02T00:00:00"/>
    <x v="2"/>
    <x v="5"/>
    <n v="2"/>
    <s v="Dr. Sharma"/>
    <n v="29074"/>
    <x v="0"/>
    <x v="0"/>
    <x v="0"/>
    <d v="2023-03-02T00:00:00"/>
    <d v="2023-04-02T00:00:00"/>
    <s v="MRI"/>
    <s v="Accepted"/>
    <s v="Afternoon"/>
    <n v="5"/>
    <n v="8"/>
    <s v="Plan C"/>
    <x v="11"/>
  </r>
  <r>
    <x v="860"/>
    <x v="39"/>
    <x v="3"/>
    <x v="340"/>
    <d v="2023-05-23T00:00:00"/>
    <x v="14"/>
    <x v="5"/>
    <n v="5"/>
    <s v="Dr. Gupta"/>
    <n v="22824"/>
    <x v="4"/>
    <x v="0"/>
    <x v="0"/>
    <d v="2023-06-05T00:00:00"/>
    <d v="2023-06-05T13:00:00"/>
    <s v="Ultrasound"/>
    <s v="Accepted"/>
    <s v="Night"/>
    <n v="6"/>
    <n v="12"/>
    <s v="Plan C"/>
    <x v="15"/>
  </r>
  <r>
    <x v="861"/>
    <x v="86"/>
    <x v="2"/>
    <x v="182"/>
    <d v="2024-08-06T00:00:00"/>
    <x v="12"/>
    <x v="1"/>
    <n v="4"/>
    <s v="Dr. Mehta"/>
    <n v="5765"/>
    <x v="4"/>
    <x v="1"/>
    <x v="0"/>
    <d v="2024-05-25T00:00:00"/>
    <d v="2024-05-25T19:00:00"/>
    <s v="Blood Test"/>
    <s v="Accepted"/>
    <s v="Morning"/>
    <n v="10"/>
    <n v="8"/>
    <s v="Plan A"/>
    <x v="12"/>
  </r>
  <r>
    <x v="862"/>
    <x v="80"/>
    <x v="5"/>
    <x v="254"/>
    <d v="2023-12-18T00:00:00"/>
    <x v="11"/>
    <x v="4"/>
    <n v="5"/>
    <s v="Dr. Mehta"/>
    <n v="36615"/>
    <x v="0"/>
    <x v="1"/>
    <x v="0"/>
    <d v="2023-01-12T00:00:00"/>
    <d v="2023-02-12T13:00:00"/>
    <s v="MRI"/>
    <s v="Accepted"/>
    <s v="Night"/>
    <n v="7"/>
    <n v="10"/>
    <s v="Plan A"/>
    <x v="8"/>
  </r>
  <r>
    <x v="863"/>
    <x v="72"/>
    <x v="4"/>
    <x v="200"/>
    <d v="2023-04-26T00:00:00"/>
    <x v="14"/>
    <x v="1"/>
    <n v="5"/>
    <s v="Dr. Patel"/>
    <n v="41860"/>
    <x v="0"/>
    <x v="0"/>
    <x v="0"/>
    <d v="2023-10-04T00:00:00"/>
    <d v="2023-10-04T20:00:00"/>
    <s v="Ultrasound"/>
    <s v="Accepted"/>
    <s v="Afternoon"/>
    <n v="8"/>
    <n v="8"/>
    <s v="Plan B"/>
    <x v="0"/>
  </r>
  <r>
    <x v="864"/>
    <x v="37"/>
    <x v="0"/>
    <x v="308"/>
    <d v="2024-01-04T00:00:00"/>
    <x v="10"/>
    <x v="4"/>
    <n v="5"/>
    <s v="Dr. Gupta"/>
    <n v="17975"/>
    <x v="4"/>
    <x v="0"/>
    <x v="0"/>
    <d v="2024-03-24T00:00:00"/>
    <d v="2024-03-26T00:00:00"/>
    <s v="MRI"/>
    <s v="Accepted"/>
    <s v="Afternoon"/>
    <n v="8"/>
    <n v="12"/>
    <s v="Plan B"/>
    <x v="16"/>
  </r>
  <r>
    <x v="865"/>
    <x v="86"/>
    <x v="1"/>
    <x v="200"/>
    <d v="2023-04-16T00:00:00"/>
    <x v="3"/>
    <x v="2"/>
    <n v="4"/>
    <s v="Dr. Patel"/>
    <n v="14341"/>
    <x v="0"/>
    <x v="1"/>
    <x v="1"/>
    <d v="2023-12-04T00:00:00"/>
    <d v="2023-04-13T16:00:00"/>
    <s v="X-Ray"/>
    <s v="Rejected"/>
    <s v="Morning"/>
    <n v="11"/>
    <n v="12"/>
    <s v="Plan B"/>
    <x v="0"/>
  </r>
  <r>
    <x v="866"/>
    <x v="79"/>
    <x v="4"/>
    <x v="442"/>
    <d v="2024-06-23T00:00:00"/>
    <x v="4"/>
    <x v="1"/>
    <n v="5"/>
    <s v="Dr. Patel"/>
    <n v="33141"/>
    <x v="0"/>
    <x v="0"/>
    <x v="0"/>
    <d v="2024-06-21T00:00:00"/>
    <d v="2024-06-21T16:00:00"/>
    <s v="X-Ray"/>
    <s v="Accepted"/>
    <s v="Morning"/>
    <n v="4"/>
    <n v="10"/>
    <s v="Plan B"/>
    <x v="17"/>
  </r>
  <r>
    <x v="867"/>
    <x v="88"/>
    <x v="2"/>
    <x v="297"/>
    <d v="2024-04-18T00:00:00"/>
    <x v="10"/>
    <x v="4"/>
    <n v="4"/>
    <s v="Dr. Mehta"/>
    <n v="17334"/>
    <x v="3"/>
    <x v="0"/>
    <x v="0"/>
    <d v="2024-10-04T00:00:00"/>
    <d v="2024-11-04T06:00:00"/>
    <s v="X-Ray"/>
    <s v="Accepted"/>
    <s v="Night"/>
    <n v="10"/>
    <n v="12"/>
    <s v="Plan B"/>
    <x v="22"/>
  </r>
  <r>
    <x v="868"/>
    <x v="84"/>
    <x v="1"/>
    <x v="165"/>
    <d v="2023-01-25T00:00:00"/>
    <x v="9"/>
    <x v="1"/>
    <n v="2"/>
    <s v="Dr. Patel"/>
    <n v="20835"/>
    <x v="2"/>
    <x v="1"/>
    <x v="0"/>
    <d v="2023-01-15T00:00:00"/>
    <d v="2023-01-16T00:00:00"/>
    <s v="Blood Test"/>
    <s v="Accepted"/>
    <s v="Night"/>
    <n v="11"/>
    <n v="12"/>
    <s v="Plan A"/>
    <x v="1"/>
  </r>
  <r>
    <x v="869"/>
    <x v="33"/>
    <x v="0"/>
    <x v="443"/>
    <d v="2023-03-06T00:00:00"/>
    <x v="10"/>
    <x v="1"/>
    <n v="1"/>
    <s v="Dr. Mehta"/>
    <n v="31548"/>
    <x v="4"/>
    <x v="0"/>
    <x v="0"/>
    <d v="2023-05-25T00:00:00"/>
    <d v="2023-05-26T14:00:00"/>
    <s v="X-Ray"/>
    <s v="Accepted"/>
    <s v="Morning"/>
    <n v="11"/>
    <n v="10"/>
    <s v="Plan A"/>
    <x v="4"/>
  </r>
  <r>
    <x v="870"/>
    <x v="67"/>
    <x v="0"/>
    <x v="444"/>
    <d v="2024-09-03T00:00:00"/>
    <x v="13"/>
    <x v="4"/>
    <n v="2"/>
    <s v="Dr. Sharma"/>
    <n v="40434"/>
    <x v="3"/>
    <x v="1"/>
    <x v="1"/>
    <d v="2024-02-20T00:00:00"/>
    <d v="2024-02-21T08:00:00"/>
    <s v="Blood Test"/>
    <s v="Accepted"/>
    <s v="Night"/>
    <n v="5"/>
    <n v="10"/>
    <s v="Plan C"/>
    <x v="19"/>
  </r>
  <r>
    <x v="871"/>
    <x v="49"/>
    <x v="5"/>
    <x v="176"/>
    <d v="2023-06-19T00:00:00"/>
    <x v="0"/>
    <x v="4"/>
    <n v="1"/>
    <s v="Dr. Gupta"/>
    <n v="30039"/>
    <x v="2"/>
    <x v="1"/>
    <x v="0"/>
    <d v="2023-07-06T00:00:00"/>
    <d v="2023-07-06T13:00:00"/>
    <s v="X-Ray"/>
    <s v="Rejected"/>
    <s v="Afternoon"/>
    <n v="4"/>
    <n v="8"/>
    <s v="Plan C"/>
    <x v="3"/>
  </r>
  <r>
    <x v="872"/>
    <x v="40"/>
    <x v="1"/>
    <x v="403"/>
    <d v="2023-03-21T00:00:00"/>
    <x v="3"/>
    <x v="3"/>
    <n v="2"/>
    <s v="Dr. Patel"/>
    <n v="37530"/>
    <x v="0"/>
    <x v="0"/>
    <x v="0"/>
    <d v="2023-03-15T00:00:00"/>
    <d v="2023-03-16T23:00:00"/>
    <s v="MRI"/>
    <s v="Accepted"/>
    <s v="Afternoon"/>
    <n v="9"/>
    <n v="10"/>
    <s v="Plan C"/>
    <x v="5"/>
  </r>
  <r>
    <x v="873"/>
    <x v="52"/>
    <x v="5"/>
    <x v="383"/>
    <d v="2024-09-05T00:00:00"/>
    <x v="13"/>
    <x v="1"/>
    <n v="1"/>
    <s v="Dr. Mehta"/>
    <n v="43736"/>
    <x v="0"/>
    <x v="0"/>
    <x v="1"/>
    <d v="2024-04-21T00:00:00"/>
    <d v="2024-04-22T11:00:00"/>
    <s v="Ultrasound"/>
    <s v="Accepted"/>
    <s v="Morning"/>
    <n v="6"/>
    <n v="12"/>
    <s v="Plan C"/>
    <x v="13"/>
  </r>
  <r>
    <x v="874"/>
    <x v="5"/>
    <x v="4"/>
    <x v="75"/>
    <d v="2023-12-10T00:00:00"/>
    <x v="14"/>
    <x v="5"/>
    <n v="1"/>
    <s v="Dr. Rao"/>
    <n v="45409"/>
    <x v="3"/>
    <x v="1"/>
    <x v="0"/>
    <d v="2023-09-24T00:00:00"/>
    <d v="2023-09-24T16:00:00"/>
    <s v="Ultrasound"/>
    <s v="Accepted"/>
    <s v="Night"/>
    <n v="7"/>
    <n v="10"/>
    <s v="Plan A"/>
    <x v="2"/>
  </r>
  <r>
    <x v="875"/>
    <x v="24"/>
    <x v="3"/>
    <x v="130"/>
    <d v="2023-12-24T00:00:00"/>
    <x v="0"/>
    <x v="1"/>
    <n v="3"/>
    <s v="Dr. Patel"/>
    <n v="23565"/>
    <x v="0"/>
    <x v="1"/>
    <x v="1"/>
    <d v="2023-08-12T00:00:00"/>
    <d v="2023-08-12T10:00:00"/>
    <s v="X-Ray"/>
    <s v="Accepted"/>
    <s v="Afternoon"/>
    <n v="10"/>
    <n v="12"/>
    <s v="Plan A"/>
    <x v="9"/>
  </r>
  <r>
    <x v="876"/>
    <x v="56"/>
    <x v="3"/>
    <x v="445"/>
    <d v="2024-02-20T00:00:00"/>
    <x v="6"/>
    <x v="1"/>
    <n v="1"/>
    <s v="Dr. Sharma"/>
    <n v="14834"/>
    <x v="1"/>
    <x v="1"/>
    <x v="0"/>
    <d v="2024-10-02T00:00:00"/>
    <d v="2024-10-02T01:00:00"/>
    <s v="Ultrasound"/>
    <s v="Accepted"/>
    <s v="Morning"/>
    <n v="8"/>
    <n v="8"/>
    <s v="Plan A"/>
    <x v="22"/>
  </r>
  <r>
    <x v="877"/>
    <x v="46"/>
    <x v="3"/>
    <x v="184"/>
    <d v="2023-05-04T00:00:00"/>
    <x v="11"/>
    <x v="4"/>
    <n v="1"/>
    <s v="Dr. Sharma"/>
    <n v="41656"/>
    <x v="3"/>
    <x v="0"/>
    <x v="0"/>
    <d v="2023-03-22T00:00:00"/>
    <d v="2023-03-23T03:00:00"/>
    <s v="X-Ray"/>
    <s v="Accepted"/>
    <s v="Night"/>
    <n v="5"/>
    <n v="10"/>
    <s v="Plan B"/>
    <x v="5"/>
  </r>
  <r>
    <x v="878"/>
    <x v="0"/>
    <x v="1"/>
    <x v="251"/>
    <d v="2023-11-12T00:00:00"/>
    <x v="6"/>
    <x v="1"/>
    <n v="3"/>
    <s v="Dr. Rao"/>
    <n v="5840"/>
    <x v="2"/>
    <x v="0"/>
    <x v="0"/>
    <d v="2023-11-30T00:00:00"/>
    <d v="2023-11-30T02:00:00"/>
    <s v="X-Ray"/>
    <s v="Accepted"/>
    <s v="Afternoon"/>
    <n v="8"/>
    <n v="12"/>
    <s v="Plan B"/>
    <x v="5"/>
  </r>
  <r>
    <x v="879"/>
    <x v="55"/>
    <x v="3"/>
    <x v="28"/>
    <d v="2024-05-02T00:00:00"/>
    <x v="0"/>
    <x v="0"/>
    <n v="5"/>
    <s v="Dr. Mehta"/>
    <n v="18873"/>
    <x v="3"/>
    <x v="0"/>
    <x v="0"/>
    <d v="2024-01-20T00:00:00"/>
    <d v="2024-01-20T15:00:00"/>
    <s v="CT Scan"/>
    <s v="Accepted"/>
    <s v="Night"/>
    <n v="10"/>
    <n v="10"/>
    <s v="Plan C"/>
    <x v="10"/>
  </r>
  <r>
    <x v="880"/>
    <x v="16"/>
    <x v="4"/>
    <x v="299"/>
    <d v="2023-11-24T00:00:00"/>
    <x v="3"/>
    <x v="1"/>
    <n v="5"/>
    <s v="Dr. Patel"/>
    <n v="36568"/>
    <x v="4"/>
    <x v="0"/>
    <x v="0"/>
    <d v="2023-11-16T00:00:00"/>
    <d v="2023-11-17T11:00:00"/>
    <s v="CT Scan"/>
    <s v="Accepted"/>
    <s v="Night"/>
    <n v="9"/>
    <n v="10"/>
    <s v="Plan B"/>
    <x v="14"/>
  </r>
  <r>
    <x v="881"/>
    <x v="23"/>
    <x v="5"/>
    <x v="322"/>
    <d v="2024-05-27T00:00:00"/>
    <x v="14"/>
    <x v="0"/>
    <n v="3"/>
    <s v="Dr. Mehta"/>
    <n v="15846"/>
    <x v="3"/>
    <x v="1"/>
    <x v="0"/>
    <d v="2024-09-05T00:00:00"/>
    <d v="2024-09-05T23:00:00"/>
    <s v="CT Scan"/>
    <s v="Accepted"/>
    <s v="Night"/>
    <n v="4"/>
    <n v="10"/>
    <s v="Plan A"/>
    <x v="12"/>
  </r>
  <r>
    <x v="882"/>
    <x v="77"/>
    <x v="1"/>
    <x v="227"/>
    <d v="2023-09-02T00:00:00"/>
    <x v="3"/>
    <x v="5"/>
    <n v="4"/>
    <s v="Dr. Sharma"/>
    <n v="10899"/>
    <x v="0"/>
    <x v="1"/>
    <x v="0"/>
    <d v="2023-03-02T00:00:00"/>
    <d v="2023-04-02T17:00:00"/>
    <s v="Blood Test"/>
    <s v="Accepted"/>
    <s v="Morning"/>
    <n v="10"/>
    <n v="10"/>
    <s v="Plan C"/>
    <x v="8"/>
  </r>
  <r>
    <x v="883"/>
    <x v="23"/>
    <x v="5"/>
    <x v="115"/>
    <d v="2023-03-14T00:00:00"/>
    <x v="2"/>
    <x v="4"/>
    <n v="1"/>
    <s v="Dr. Mehta"/>
    <n v="25502"/>
    <x v="0"/>
    <x v="1"/>
    <x v="0"/>
    <d v="2023-09-03T00:00:00"/>
    <d v="2023-10-03T21:00:00"/>
    <s v="CT Scan"/>
    <s v="Accepted"/>
    <s v="Afternoon"/>
    <n v="4"/>
    <n v="8"/>
    <s v="Plan C"/>
    <x v="9"/>
  </r>
  <r>
    <x v="884"/>
    <x v="76"/>
    <x v="1"/>
    <x v="186"/>
    <d v="2023-10-09T00:00:00"/>
    <x v="11"/>
    <x v="1"/>
    <n v="1"/>
    <s v="Dr. Sharma"/>
    <n v="5565"/>
    <x v="1"/>
    <x v="0"/>
    <x v="0"/>
    <d v="2023-08-28T00:00:00"/>
    <d v="2023-08-28T01:00:00"/>
    <s v="X-Ray"/>
    <s v="Accepted"/>
    <s v="Morning"/>
    <n v="7"/>
    <n v="12"/>
    <s v="Plan B"/>
    <x v="3"/>
  </r>
  <r>
    <x v="885"/>
    <x v="18"/>
    <x v="5"/>
    <x v="430"/>
    <d v="2023-04-11T00:00:00"/>
    <x v="14"/>
    <x v="0"/>
    <n v="3"/>
    <s v="Dr. Mehta"/>
    <n v="43773"/>
    <x v="1"/>
    <x v="1"/>
    <x v="1"/>
    <d v="2023-10-17T00:00:00"/>
    <d v="2023-10-17T22:00:00"/>
    <s v="MRI"/>
    <s v="Accepted"/>
    <s v="Afternoon"/>
    <n v="5"/>
    <n v="10"/>
    <s v="Plan C"/>
    <x v="15"/>
  </r>
  <r>
    <x v="886"/>
    <x v="12"/>
    <x v="0"/>
    <x v="378"/>
    <d v="2023-08-29T00:00:00"/>
    <x v="6"/>
    <x v="0"/>
    <n v="3"/>
    <s v="Dr. Rao"/>
    <n v="46924"/>
    <x v="1"/>
    <x v="1"/>
    <x v="0"/>
    <d v="2023-08-19T00:00:00"/>
    <d v="2023-08-19T01:00:00"/>
    <s v="CT Scan"/>
    <s v="Accepted"/>
    <s v="Afternoon"/>
    <n v="9"/>
    <n v="12"/>
    <s v="Plan B"/>
    <x v="3"/>
  </r>
  <r>
    <x v="887"/>
    <x v="11"/>
    <x v="5"/>
    <x v="446"/>
    <d v="2023-04-04T00:00:00"/>
    <x v="4"/>
    <x v="0"/>
    <n v="4"/>
    <s v="Dr. Gupta"/>
    <n v="48242"/>
    <x v="2"/>
    <x v="1"/>
    <x v="1"/>
    <d v="2023-02-04T00:00:00"/>
    <d v="2023-03-04T19:00:00"/>
    <s v="CT Scan"/>
    <s v="Accepted"/>
    <s v="Morning"/>
    <n v="5"/>
    <n v="8"/>
    <s v="Plan B"/>
    <x v="5"/>
  </r>
  <r>
    <x v="888"/>
    <x v="4"/>
    <x v="3"/>
    <x v="256"/>
    <d v="2024-03-25T00:00:00"/>
    <x v="5"/>
    <x v="2"/>
    <n v="5"/>
    <s v="Dr. Rao"/>
    <n v="14187"/>
    <x v="1"/>
    <x v="1"/>
    <x v="0"/>
    <d v="2024-03-19T00:00:00"/>
    <d v="2024-03-20T01:00:00"/>
    <s v="MRI"/>
    <s v="Accepted"/>
    <s v="Morning"/>
    <n v="7"/>
    <n v="12"/>
    <s v="Plan C"/>
    <x v="16"/>
  </r>
  <r>
    <x v="889"/>
    <x v="76"/>
    <x v="0"/>
    <x v="153"/>
    <d v="2023-04-15T00:00:00"/>
    <x v="7"/>
    <x v="3"/>
    <n v="2"/>
    <s v="Dr. Rao"/>
    <n v="12226"/>
    <x v="2"/>
    <x v="1"/>
    <x v="0"/>
    <d v="2023-06-04T00:00:00"/>
    <d v="2023-08-04T00:00:00"/>
    <s v="X-Ray"/>
    <s v="Accepted"/>
    <s v="Afternoon"/>
    <n v="9"/>
    <n v="12"/>
    <s v="Plan B"/>
    <x v="14"/>
  </r>
  <r>
    <x v="890"/>
    <x v="76"/>
    <x v="5"/>
    <x v="200"/>
    <d v="2023-04-14T00:00:00"/>
    <x v="4"/>
    <x v="5"/>
    <n v="5"/>
    <s v="Dr. Gupta"/>
    <n v="47147"/>
    <x v="1"/>
    <x v="1"/>
    <x v="0"/>
    <d v="2023-09-04T00:00:00"/>
    <d v="2023-10-04T23:00:00"/>
    <s v="Blood Test"/>
    <s v="Accepted"/>
    <s v="Afternoon"/>
    <n v="11"/>
    <n v="8"/>
    <s v="Plan B"/>
    <x v="0"/>
  </r>
  <r>
    <x v="891"/>
    <x v="34"/>
    <x v="1"/>
    <x v="447"/>
    <d v="2024-12-04T00:00:00"/>
    <x v="14"/>
    <x v="1"/>
    <n v="1"/>
    <s v="Dr. Gupta"/>
    <n v="43658"/>
    <x v="2"/>
    <x v="1"/>
    <x v="0"/>
    <d v="2024-03-27T00:00:00"/>
    <d v="2024-03-27T20:00:00"/>
    <s v="CT Scan"/>
    <s v="Accepted"/>
    <s v="Afternoon"/>
    <n v="9"/>
    <n v="10"/>
    <s v="Plan B"/>
    <x v="16"/>
  </r>
  <r>
    <x v="892"/>
    <x v="7"/>
    <x v="1"/>
    <x v="167"/>
    <d v="2023-06-24T00:00:00"/>
    <x v="7"/>
    <x v="2"/>
    <n v="3"/>
    <s v="Dr. Patel"/>
    <n v="9311"/>
    <x v="3"/>
    <x v="1"/>
    <x v="0"/>
    <d v="2023-06-19T00:00:00"/>
    <d v="2023-06-19T07:00:00"/>
    <s v="MRI"/>
    <s v="Accepted"/>
    <s v="Night"/>
    <n v="4"/>
    <n v="12"/>
    <s v="Plan B"/>
    <x v="8"/>
  </r>
  <r>
    <x v="893"/>
    <x v="26"/>
    <x v="1"/>
    <x v="208"/>
    <d v="2023-11-18T00:00:00"/>
    <x v="8"/>
    <x v="1"/>
    <n v="4"/>
    <s v="Dr. Patel"/>
    <n v="49214"/>
    <x v="3"/>
    <x v="1"/>
    <x v="0"/>
    <d v="2023-10-30T00:00:00"/>
    <d v="2023-10-30T14:00:00"/>
    <s v="X-Ray"/>
    <s v="Accepted"/>
    <s v="Afternoon"/>
    <n v="4"/>
    <n v="12"/>
    <s v="Plan C"/>
    <x v="5"/>
  </r>
  <r>
    <x v="894"/>
    <x v="26"/>
    <x v="2"/>
    <x v="324"/>
    <d v="2023-01-31T00:00:00"/>
    <x v="4"/>
    <x v="1"/>
    <n v="5"/>
    <s v="Dr. Rao"/>
    <n v="46616"/>
    <x v="0"/>
    <x v="1"/>
    <x v="1"/>
    <d v="2023-01-25T00:00:00"/>
    <d v="2023-01-26T10:00:00"/>
    <s v="Ultrasound"/>
    <s v="Accepted"/>
    <s v="Morning"/>
    <n v="4"/>
    <n v="10"/>
    <s v="Plan A"/>
    <x v="1"/>
  </r>
  <r>
    <x v="895"/>
    <x v="9"/>
    <x v="4"/>
    <x v="284"/>
    <d v="2023-02-23T00:00:00"/>
    <x v="10"/>
    <x v="4"/>
    <n v="4"/>
    <s v="Dr. Rao"/>
    <n v="30689"/>
    <x v="2"/>
    <x v="1"/>
    <x v="1"/>
    <d v="2023-02-17T00:00:00"/>
    <d v="2023-02-17T16:00:00"/>
    <s v="Blood Test"/>
    <s v="Accepted"/>
    <s v="Morning"/>
    <n v="8"/>
    <n v="10"/>
    <s v="Plan A"/>
    <x v="7"/>
  </r>
  <r>
    <x v="896"/>
    <x v="29"/>
    <x v="1"/>
    <x v="61"/>
    <d v="2023-12-14T00:00:00"/>
    <x v="8"/>
    <x v="4"/>
    <n v="5"/>
    <s v="Dr. Sharma"/>
    <n v="11083"/>
    <x v="4"/>
    <x v="0"/>
    <x v="1"/>
    <d v="2023-11-25T00:00:00"/>
    <d v="2023-11-26T03:00:00"/>
    <s v="MRI"/>
    <s v="Accepted"/>
    <s v="Morning"/>
    <n v="11"/>
    <n v="12"/>
    <s v="Plan B"/>
    <x v="14"/>
  </r>
  <r>
    <x v="897"/>
    <x v="36"/>
    <x v="0"/>
    <x v="62"/>
    <d v="2023-04-03T00:00:00"/>
    <x v="5"/>
    <x v="4"/>
    <n v="1"/>
    <s v="Dr. Sharma"/>
    <n v="17598"/>
    <x v="0"/>
    <x v="1"/>
    <x v="0"/>
    <d v="2023-02-27T00:00:00"/>
    <d v="2023-02-28T08:00:00"/>
    <s v="MRI"/>
    <s v="Accepted"/>
    <s v="Afternoon"/>
    <n v="6"/>
    <n v="8"/>
    <s v="Plan B"/>
    <x v="7"/>
  </r>
  <r>
    <x v="898"/>
    <x v="10"/>
    <x v="1"/>
    <x v="38"/>
    <d v="2023-06-11T00:00:00"/>
    <x v="9"/>
    <x v="2"/>
    <n v="2"/>
    <s v="Dr. Patel"/>
    <n v="21940"/>
    <x v="3"/>
    <x v="0"/>
    <x v="1"/>
    <d v="2023-10-28T00:00:00"/>
    <d v="2023-10-28T04:00:00"/>
    <s v="MRI"/>
    <s v="Accepted"/>
    <s v="Afternoon"/>
    <n v="10"/>
    <n v="10"/>
    <s v="Plan B"/>
    <x v="15"/>
  </r>
  <r>
    <x v="899"/>
    <x v="85"/>
    <x v="2"/>
    <x v="30"/>
    <d v="2024-10-01T00:00:00"/>
    <x v="1"/>
    <x v="1"/>
    <n v="4"/>
    <s v="Dr. Patel"/>
    <n v="31880"/>
    <x v="2"/>
    <x v="0"/>
    <x v="0"/>
    <d v="2023-12-29T00:00:00"/>
    <d v="2023-12-29T10:00:00"/>
    <s v="CT Scan"/>
    <s v="Accepted"/>
    <s v="Night"/>
    <n v="4"/>
    <n v="10"/>
    <s v="Plan A"/>
    <x v="16"/>
  </r>
  <r>
    <x v="900"/>
    <x v="52"/>
    <x v="3"/>
    <x v="448"/>
    <d v="2024-02-02T00:00:00"/>
    <x v="13"/>
    <x v="3"/>
    <n v="4"/>
    <s v="Dr. Sharma"/>
    <n v="7580"/>
    <x v="1"/>
    <x v="1"/>
    <x v="0"/>
    <d v="2024-01-19T00:00:00"/>
    <d v="2024-01-20T22:00:00"/>
    <s v="Ultrasound"/>
    <s v="Accepted"/>
    <s v="Night"/>
    <n v="6"/>
    <n v="8"/>
    <s v="Plan B"/>
    <x v="10"/>
  </r>
  <r>
    <x v="901"/>
    <x v="44"/>
    <x v="0"/>
    <x v="148"/>
    <d v="2024-03-26T00:00:00"/>
    <x v="9"/>
    <x v="5"/>
    <n v="2"/>
    <s v="Dr. Sharma"/>
    <n v="47321"/>
    <x v="4"/>
    <x v="1"/>
    <x v="1"/>
    <d v="2024-03-17T00:00:00"/>
    <d v="2024-03-17T18:00:00"/>
    <s v="Blood Test"/>
    <s v="Accepted"/>
    <s v="Morning"/>
    <n v="6"/>
    <n v="12"/>
    <s v="Plan C"/>
    <x v="16"/>
  </r>
  <r>
    <x v="902"/>
    <x v="9"/>
    <x v="2"/>
    <x v="449"/>
    <d v="2023-07-06T00:00:00"/>
    <x v="6"/>
    <x v="4"/>
    <n v="4"/>
    <s v="Dr. Mehta"/>
    <n v="14386"/>
    <x v="3"/>
    <x v="0"/>
    <x v="0"/>
    <d v="2023-05-27T00:00:00"/>
    <d v="2023-05-27T06:00:00"/>
    <s v="X-Ray"/>
    <s v="Rejected"/>
    <s v="Night"/>
    <n v="5"/>
    <n v="10"/>
    <s v="Plan C"/>
    <x v="4"/>
  </r>
  <r>
    <x v="903"/>
    <x v="46"/>
    <x v="3"/>
    <x v="3"/>
    <d v="2023-09-13T00:00:00"/>
    <x v="5"/>
    <x v="4"/>
    <n v="4"/>
    <s v="Dr. Mehta"/>
    <n v="24522"/>
    <x v="0"/>
    <x v="0"/>
    <x v="0"/>
    <d v="2023-07-09T00:00:00"/>
    <d v="2023-07-09T03:00:00"/>
    <s v="X-Ray"/>
    <s v="Accepted"/>
    <s v="Night"/>
    <n v="7"/>
    <n v="12"/>
    <s v="Plan C"/>
    <x v="3"/>
  </r>
  <r>
    <x v="904"/>
    <x v="74"/>
    <x v="0"/>
    <x v="239"/>
    <d v="2024-02-27T00:00:00"/>
    <x v="4"/>
    <x v="1"/>
    <n v="5"/>
    <s v="Dr. Sharma"/>
    <n v="31224"/>
    <x v="2"/>
    <x v="0"/>
    <x v="1"/>
    <d v="2024-02-21T00:00:00"/>
    <d v="2024-02-21T15:00:00"/>
    <s v="Ultrasound"/>
    <s v="Accepted"/>
    <s v="Morning"/>
    <n v="8"/>
    <n v="12"/>
    <s v="Plan A"/>
    <x v="19"/>
  </r>
  <r>
    <x v="905"/>
    <x v="37"/>
    <x v="5"/>
    <x v="450"/>
    <d v="2023-07-17T00:00:00"/>
    <x v="14"/>
    <x v="1"/>
    <n v="5"/>
    <s v="Dr. Mehta"/>
    <n v="19635"/>
    <x v="4"/>
    <x v="0"/>
    <x v="0"/>
    <d v="2023-03-07T00:00:00"/>
    <d v="2023-04-07T10:00:00"/>
    <s v="MRI"/>
    <s v="Accepted"/>
    <s v="Afternoon"/>
    <n v="6"/>
    <n v="12"/>
    <s v="Plan B"/>
    <x v="0"/>
  </r>
  <r>
    <x v="906"/>
    <x v="7"/>
    <x v="4"/>
    <x v="451"/>
    <d v="2023-05-07T00:00:00"/>
    <x v="0"/>
    <x v="2"/>
    <n v="2"/>
    <s v="Dr. Gupta"/>
    <n v="5671"/>
    <x v="2"/>
    <x v="1"/>
    <x v="0"/>
    <d v="2023-06-24T00:00:00"/>
    <d v="2023-06-25T03:00:00"/>
    <s v="MRI"/>
    <s v="Accepted"/>
    <s v="Night"/>
    <n v="10"/>
    <n v="8"/>
    <s v="Plan B"/>
    <x v="8"/>
  </r>
  <r>
    <x v="907"/>
    <x v="34"/>
    <x v="4"/>
    <x v="416"/>
    <d v="2023-03-07T00:00:00"/>
    <x v="7"/>
    <x v="2"/>
    <n v="1"/>
    <s v="Dr. Patel"/>
    <n v="38545"/>
    <x v="1"/>
    <x v="1"/>
    <x v="0"/>
    <d v="2023-06-24T00:00:00"/>
    <d v="2023-06-25T21:00:00"/>
    <s v="MRI"/>
    <s v="Accepted"/>
    <s v="Afternoon"/>
    <n v="8"/>
    <n v="12"/>
    <s v="Plan B"/>
    <x v="8"/>
  </r>
  <r>
    <x v="908"/>
    <x v="69"/>
    <x v="2"/>
    <x v="37"/>
    <d v="2023-03-27T00:00:00"/>
    <x v="5"/>
    <x v="4"/>
    <n v="4"/>
    <s v="Dr. Patel"/>
    <n v="31855"/>
    <x v="0"/>
    <x v="1"/>
    <x v="0"/>
    <d v="2023-03-21T00:00:00"/>
    <d v="2023-03-22T00:00:00"/>
    <s v="MRI"/>
    <s v="Accepted"/>
    <s v="Morning"/>
    <n v="5"/>
    <n v="12"/>
    <s v="Plan A"/>
    <x v="5"/>
  </r>
  <r>
    <x v="909"/>
    <x v="46"/>
    <x v="3"/>
    <x v="241"/>
    <d v="2024-02-02T00:00:00"/>
    <x v="10"/>
    <x v="1"/>
    <n v="1"/>
    <s v="Dr. Sharma"/>
    <n v="40790"/>
    <x v="2"/>
    <x v="1"/>
    <x v="0"/>
    <d v="2024-01-27T00:00:00"/>
    <d v="2024-01-28T06:00:00"/>
    <s v="MRI"/>
    <s v="Accepted"/>
    <s v="Morning"/>
    <n v="4"/>
    <n v="10"/>
    <s v="Plan A"/>
    <x v="10"/>
  </r>
  <r>
    <x v="910"/>
    <x v="28"/>
    <x v="4"/>
    <x v="112"/>
    <d v="2023-09-18T00:00:00"/>
    <x v="13"/>
    <x v="3"/>
    <n v="2"/>
    <s v="Dr. Rao"/>
    <n v="19260"/>
    <x v="3"/>
    <x v="1"/>
    <x v="0"/>
    <d v="2023-03-09T00:00:00"/>
    <d v="2023-05-09T00:00:00"/>
    <s v="Ultrasound"/>
    <s v="Accepted"/>
    <s v="Night"/>
    <n v="9"/>
    <n v="10"/>
    <s v="Plan A"/>
    <x v="0"/>
  </r>
  <r>
    <x v="911"/>
    <x v="26"/>
    <x v="3"/>
    <x v="452"/>
    <d v="2024-06-06T00:00:00"/>
    <x v="14"/>
    <x v="5"/>
    <n v="2"/>
    <s v="Dr. Sharma"/>
    <n v="6074"/>
    <x v="0"/>
    <x v="0"/>
    <x v="1"/>
    <d v="2024-05-20T00:00:00"/>
    <d v="2024-05-20T06:00:00"/>
    <s v="CT Scan"/>
    <s v="Accepted"/>
    <s v="Morning"/>
    <n v="6"/>
    <n v="8"/>
    <s v="Plan A"/>
    <x v="12"/>
  </r>
  <r>
    <x v="912"/>
    <x v="75"/>
    <x v="3"/>
    <x v="74"/>
    <d v="2023-05-28T00:00:00"/>
    <x v="4"/>
    <x v="1"/>
    <n v="5"/>
    <s v="Dr. Mehta"/>
    <n v="47676"/>
    <x v="3"/>
    <x v="1"/>
    <x v="0"/>
    <d v="2023-05-24T00:00:00"/>
    <d v="2023-05-25T14:00:00"/>
    <s v="Blood Test"/>
    <s v="Accepted"/>
    <s v="Morning"/>
    <n v="7"/>
    <n v="8"/>
    <s v="Plan C"/>
    <x v="4"/>
  </r>
  <r>
    <x v="913"/>
    <x v="74"/>
    <x v="2"/>
    <x v="406"/>
    <d v="2023-09-09T00:00:00"/>
    <x v="13"/>
    <x v="1"/>
    <n v="4"/>
    <s v="Dr. Rao"/>
    <n v="14475"/>
    <x v="2"/>
    <x v="1"/>
    <x v="0"/>
    <d v="2023-08-24T00:00:00"/>
    <d v="2023-08-24T07:00:00"/>
    <s v="MRI"/>
    <s v="Accepted"/>
    <s v="Morning"/>
    <n v="9"/>
    <n v="10"/>
    <s v="Plan A"/>
    <x v="3"/>
  </r>
  <r>
    <x v="914"/>
    <x v="69"/>
    <x v="2"/>
    <x v="329"/>
    <d v="2024-04-28T00:00:00"/>
    <x v="0"/>
    <x v="0"/>
    <n v="3"/>
    <s v="Dr. Mehta"/>
    <n v="17878"/>
    <x v="0"/>
    <x v="0"/>
    <x v="1"/>
    <d v="2024-04-17T00:00:00"/>
    <d v="2024-04-18T09:00:00"/>
    <s v="CT Scan"/>
    <s v="Accepted"/>
    <s v="Night"/>
    <n v="5"/>
    <n v="10"/>
    <s v="Plan A"/>
    <x v="13"/>
  </r>
  <r>
    <x v="915"/>
    <x v="7"/>
    <x v="2"/>
    <x v="260"/>
    <d v="2023-09-24T00:00:00"/>
    <x v="10"/>
    <x v="2"/>
    <n v="2"/>
    <s v="Dr. Gupta"/>
    <n v="20120"/>
    <x v="3"/>
    <x v="0"/>
    <x v="0"/>
    <d v="2023-09-14T00:00:00"/>
    <d v="2023-09-14T09:00:00"/>
    <s v="X-Ray"/>
    <s v="Accepted"/>
    <s v="Night"/>
    <n v="8"/>
    <n v="8"/>
    <s v="Plan A"/>
    <x v="2"/>
  </r>
  <r>
    <x v="916"/>
    <x v="40"/>
    <x v="4"/>
    <x v="34"/>
    <d v="2024-04-20T00:00:00"/>
    <x v="5"/>
    <x v="5"/>
    <n v="4"/>
    <s v="Dr. Mehta"/>
    <n v="28147"/>
    <x v="1"/>
    <x v="1"/>
    <x v="0"/>
    <d v="2024-10-04T00:00:00"/>
    <d v="2024-11-04T17:00:00"/>
    <s v="Ultrasound"/>
    <s v="Accepted"/>
    <s v="Night"/>
    <n v="10"/>
    <n v="12"/>
    <s v="Plan B"/>
    <x v="13"/>
  </r>
  <r>
    <x v="917"/>
    <x v="55"/>
    <x v="2"/>
    <x v="453"/>
    <d v="2023-09-21T00:00:00"/>
    <x v="2"/>
    <x v="4"/>
    <n v="1"/>
    <s v="Dr. Gupta"/>
    <n v="6986"/>
    <x v="1"/>
    <x v="0"/>
    <x v="0"/>
    <d v="2023-09-14T00:00:00"/>
    <d v="2023-09-15T02:00:00"/>
    <s v="CT Scan"/>
    <s v="Rejected"/>
    <s v="Morning"/>
    <n v="11"/>
    <n v="8"/>
    <s v="Plan B"/>
    <x v="2"/>
  </r>
  <r>
    <x v="918"/>
    <x v="28"/>
    <x v="4"/>
    <x v="199"/>
    <d v="2023-01-23T00:00:00"/>
    <x v="14"/>
    <x v="1"/>
    <n v="5"/>
    <s v="Dr. Gupta"/>
    <n v="48593"/>
    <x v="2"/>
    <x v="0"/>
    <x v="0"/>
    <d v="2023-06-01T00:00:00"/>
    <d v="2023-06-01T05:00:00"/>
    <s v="MRI"/>
    <s v="Accepted"/>
    <s v="Afternoon"/>
    <n v="4"/>
    <n v="12"/>
    <s v="Plan B"/>
    <x v="15"/>
  </r>
  <r>
    <x v="919"/>
    <x v="58"/>
    <x v="2"/>
    <x v="276"/>
    <d v="2024-04-27T00:00:00"/>
    <x v="10"/>
    <x v="4"/>
    <n v="1"/>
    <s v="Dr. Mehta"/>
    <n v="37430"/>
    <x v="0"/>
    <x v="1"/>
    <x v="0"/>
    <d v="2024-04-18T00:00:00"/>
    <d v="2024-04-19T14:00:00"/>
    <s v="MRI"/>
    <s v="Accepted"/>
    <s v="Morning"/>
    <n v="8"/>
    <n v="10"/>
    <s v="Plan C"/>
    <x v="13"/>
  </r>
  <r>
    <x v="920"/>
    <x v="39"/>
    <x v="1"/>
    <x v="430"/>
    <d v="2023-10-29T00:00:00"/>
    <x v="1"/>
    <x v="1"/>
    <n v="2"/>
    <s v="Dr. Mehta"/>
    <n v="46961"/>
    <x v="4"/>
    <x v="1"/>
    <x v="0"/>
    <d v="2023-10-17T00:00:00"/>
    <d v="2023-10-18T13:00:00"/>
    <s v="MRI"/>
    <s v="Accepted"/>
    <s v="Night"/>
    <n v="7"/>
    <n v="10"/>
    <s v="Plan C"/>
    <x v="15"/>
  </r>
  <r>
    <x v="921"/>
    <x v="62"/>
    <x v="3"/>
    <x v="95"/>
    <d v="2023-06-26T00:00:00"/>
    <x v="8"/>
    <x v="4"/>
    <n v="2"/>
    <s v="Dr. Gupta"/>
    <n v="22430"/>
    <x v="0"/>
    <x v="1"/>
    <x v="0"/>
    <d v="2023-08-06T00:00:00"/>
    <d v="2023-08-06T04:00:00"/>
    <s v="CT Scan"/>
    <s v="Rejected"/>
    <s v="Afternoon"/>
    <n v="6"/>
    <n v="10"/>
    <s v="Plan A"/>
    <x v="14"/>
  </r>
  <r>
    <x v="922"/>
    <x v="76"/>
    <x v="2"/>
    <x v="201"/>
    <d v="2023-03-24T00:00:00"/>
    <x v="1"/>
    <x v="5"/>
    <n v="1"/>
    <s v="Dr. Rao"/>
    <n v="7176"/>
    <x v="1"/>
    <x v="1"/>
    <x v="0"/>
    <d v="2023-03-17T00:00:00"/>
    <d v="2023-03-18T04:00:00"/>
    <s v="MRI"/>
    <s v="Accepted"/>
    <s v="Afternoon"/>
    <n v="7"/>
    <n v="12"/>
    <s v="Plan B"/>
    <x v="5"/>
  </r>
  <r>
    <x v="923"/>
    <x v="55"/>
    <x v="0"/>
    <x v="224"/>
    <d v="2024-09-04T00:00:00"/>
    <x v="11"/>
    <x v="2"/>
    <n v="2"/>
    <s v="Dr. Gupta"/>
    <n v="23722"/>
    <x v="3"/>
    <x v="1"/>
    <x v="0"/>
    <d v="2024-03-28T00:00:00"/>
    <d v="2024-03-29T19:00:00"/>
    <s v="CT Scan"/>
    <s v="Accepted"/>
    <s v="Night"/>
    <n v="8"/>
    <n v="8"/>
    <s v="Plan C"/>
    <x v="16"/>
  </r>
  <r>
    <x v="924"/>
    <x v="79"/>
    <x v="3"/>
    <x v="257"/>
    <d v="2023-12-28T00:00:00"/>
    <x v="6"/>
    <x v="5"/>
    <n v="4"/>
    <s v="Dr. Patel"/>
    <n v="47815"/>
    <x v="4"/>
    <x v="0"/>
    <x v="0"/>
    <d v="2023-12-16T00:00:00"/>
    <d v="2023-12-16T09:00:00"/>
    <s v="MRI"/>
    <s v="Accepted"/>
    <s v="Afternoon"/>
    <n v="8"/>
    <n v="12"/>
    <s v="Plan B"/>
    <x v="9"/>
  </r>
  <r>
    <x v="925"/>
    <x v="78"/>
    <x v="3"/>
    <x v="208"/>
    <d v="2023-11-18T00:00:00"/>
    <x v="8"/>
    <x v="0"/>
    <n v="2"/>
    <s v="Dr. Gupta"/>
    <n v="23617"/>
    <x v="2"/>
    <x v="0"/>
    <x v="0"/>
    <d v="2023-10-30T00:00:00"/>
    <d v="2023-10-30T16:00:00"/>
    <s v="X-Ray"/>
    <s v="Accepted"/>
    <s v="Afternoon"/>
    <n v="9"/>
    <n v="8"/>
    <s v="Plan C"/>
    <x v="5"/>
  </r>
  <r>
    <x v="926"/>
    <x v="37"/>
    <x v="2"/>
    <x v="454"/>
    <d v="2024-03-17T00:00:00"/>
    <x v="1"/>
    <x v="3"/>
    <n v="5"/>
    <s v="Dr. Rao"/>
    <n v="32115"/>
    <x v="4"/>
    <x v="0"/>
    <x v="0"/>
    <d v="2024-07-03T00:00:00"/>
    <d v="2024-07-03T19:00:00"/>
    <s v="X-Ray"/>
    <s v="Accepted"/>
    <s v="Night"/>
    <n v="7"/>
    <n v="8"/>
    <s v="Plan C"/>
    <x v="20"/>
  </r>
  <r>
    <x v="927"/>
    <x v="83"/>
    <x v="5"/>
    <x v="414"/>
    <d v="2023-09-20T00:00:00"/>
    <x v="10"/>
    <x v="2"/>
    <n v="4"/>
    <s v="Dr. Patel"/>
    <n v="42376"/>
    <x v="2"/>
    <x v="0"/>
    <x v="0"/>
    <d v="2023-09-14T00:00:00"/>
    <d v="2023-09-14T17:00:00"/>
    <s v="Blood Test"/>
    <s v="Accepted"/>
    <s v="Afternoon"/>
    <n v="7"/>
    <n v="8"/>
    <s v="Plan A"/>
    <x v="2"/>
  </r>
  <r>
    <x v="928"/>
    <x v="64"/>
    <x v="2"/>
    <x v="297"/>
    <d v="2024-04-15T00:00:00"/>
    <x v="3"/>
    <x v="5"/>
    <n v="3"/>
    <s v="Dr. Sharma"/>
    <n v="16906"/>
    <x v="4"/>
    <x v="0"/>
    <x v="0"/>
    <d v="2024-12-04T00:00:00"/>
    <d v="2024-12-04T21:00:00"/>
    <s v="MRI"/>
    <s v="Accepted"/>
    <s v="Afternoon"/>
    <n v="7"/>
    <n v="10"/>
    <s v="Plan A"/>
    <x v="22"/>
  </r>
  <r>
    <x v="929"/>
    <x v="27"/>
    <x v="3"/>
    <x v="206"/>
    <d v="2023-11-14T00:00:00"/>
    <x v="6"/>
    <x v="0"/>
    <n v="2"/>
    <s v="Dr. Sharma"/>
    <n v="45002"/>
    <x v="2"/>
    <x v="1"/>
    <x v="1"/>
    <d v="2023-02-11T00:00:00"/>
    <d v="2023-03-11T02:00:00"/>
    <s v="MRI"/>
    <s v="Rejected"/>
    <s v="Night"/>
    <n v="4"/>
    <n v="8"/>
    <s v="Plan C"/>
    <x v="8"/>
  </r>
  <r>
    <x v="930"/>
    <x v="60"/>
    <x v="0"/>
    <x v="16"/>
    <d v="2023-04-08T00:00:00"/>
    <x v="11"/>
    <x v="3"/>
    <n v="2"/>
    <s v="Dr. Rao"/>
    <n v="11610"/>
    <x v="2"/>
    <x v="1"/>
    <x v="0"/>
    <d v="2023-07-18T00:00:00"/>
    <d v="2023-07-19T21:00:00"/>
    <s v="CT Scan"/>
    <s v="Accepted"/>
    <s v="Afternoon"/>
    <n v="10"/>
    <n v="10"/>
    <s v="Plan A"/>
    <x v="11"/>
  </r>
  <r>
    <x v="931"/>
    <x v="35"/>
    <x v="3"/>
    <x v="288"/>
    <d v="2024-06-02T00:00:00"/>
    <x v="6"/>
    <x v="0"/>
    <n v="5"/>
    <s v="Dr. Gupta"/>
    <n v="48292"/>
    <x v="4"/>
    <x v="0"/>
    <x v="0"/>
    <d v="2024-01-27T00:00:00"/>
    <d v="2024-01-29T00:00:00"/>
    <s v="CT Scan"/>
    <s v="Accepted"/>
    <s v="Afternoon"/>
    <n v="8"/>
    <n v="8"/>
    <s v="Plan C"/>
    <x v="10"/>
  </r>
  <r>
    <x v="932"/>
    <x v="16"/>
    <x v="0"/>
    <x v="433"/>
    <d v="2024-05-15T00:00:00"/>
    <x v="10"/>
    <x v="1"/>
    <n v="5"/>
    <s v="Dr. Mehta"/>
    <n v="18411"/>
    <x v="4"/>
    <x v="1"/>
    <x v="1"/>
    <d v="2024-05-05T00:00:00"/>
    <d v="2024-05-05T21:00:00"/>
    <s v="MRI"/>
    <s v="Accepted"/>
    <s v="Afternoon"/>
    <n v="5"/>
    <n v="8"/>
    <s v="Plan C"/>
    <x v="18"/>
  </r>
  <r>
    <x v="933"/>
    <x v="15"/>
    <x v="4"/>
    <x v="212"/>
    <d v="2023-05-05T00:00:00"/>
    <x v="8"/>
    <x v="1"/>
    <n v="1"/>
    <s v="Dr. Rao"/>
    <n v="14180"/>
    <x v="2"/>
    <x v="1"/>
    <x v="0"/>
    <d v="2023-04-18T00:00:00"/>
    <d v="2023-04-18T21:00:00"/>
    <s v="Blood Test"/>
    <s v="Accepted"/>
    <s v="Afternoon"/>
    <n v="4"/>
    <n v="10"/>
    <s v="Plan B"/>
    <x v="0"/>
  </r>
  <r>
    <x v="934"/>
    <x v="66"/>
    <x v="1"/>
    <x v="166"/>
    <d v="2023-09-13T00:00:00"/>
    <x v="14"/>
    <x v="4"/>
    <n v="1"/>
    <s v="Dr. Patel"/>
    <n v="15073"/>
    <x v="1"/>
    <x v="1"/>
    <x v="0"/>
    <d v="2023-08-31T00:00:00"/>
    <d v="2023-01-09T05:00:00"/>
    <s v="MRI"/>
    <s v="Accepted"/>
    <s v="Night"/>
    <n v="4"/>
    <n v="10"/>
    <s v="Plan A"/>
    <x v="3"/>
  </r>
  <r>
    <x v="935"/>
    <x v="61"/>
    <x v="3"/>
    <x v="89"/>
    <d v="2024-04-02T00:00:00"/>
    <x v="9"/>
    <x v="2"/>
    <n v="1"/>
    <s v="Dr. Patel"/>
    <n v="42251"/>
    <x v="4"/>
    <x v="0"/>
    <x v="0"/>
    <d v="2024-01-22T00:00:00"/>
    <d v="2024-01-22T18:00:00"/>
    <s v="CT Scan"/>
    <s v="Accepted"/>
    <s v="Morning"/>
    <n v="4"/>
    <n v="12"/>
    <s v="Plan A"/>
    <x v="10"/>
  </r>
  <r>
    <x v="936"/>
    <x v="70"/>
    <x v="2"/>
    <x v="30"/>
    <d v="2024-08-01T00:00:00"/>
    <x v="5"/>
    <x v="1"/>
    <n v="5"/>
    <s v="Dr. Sharma"/>
    <n v="35960"/>
    <x v="0"/>
    <x v="1"/>
    <x v="1"/>
    <d v="2023-12-29T00:00:00"/>
    <d v="2023-12-29T15:00:00"/>
    <s v="MRI"/>
    <s v="Accepted"/>
    <s v="Morning"/>
    <n v="9"/>
    <n v="8"/>
    <s v="Plan A"/>
    <x v="16"/>
  </r>
  <r>
    <x v="937"/>
    <x v="10"/>
    <x v="4"/>
    <x v="268"/>
    <d v="2023-12-11T00:00:00"/>
    <x v="14"/>
    <x v="0"/>
    <n v="1"/>
    <s v="Dr. Patel"/>
    <n v="10901"/>
    <x v="3"/>
    <x v="0"/>
    <x v="0"/>
    <d v="2023-10-25T00:00:00"/>
    <d v="2023-10-25T05:00:00"/>
    <s v="CT Scan"/>
    <s v="Accepted"/>
    <s v="Afternoon"/>
    <n v="11"/>
    <n v="10"/>
    <s v="Plan B"/>
    <x v="15"/>
  </r>
  <r>
    <x v="938"/>
    <x v="18"/>
    <x v="1"/>
    <x v="268"/>
    <d v="2023-01-11T00:00:00"/>
    <x v="2"/>
    <x v="2"/>
    <n v="1"/>
    <s v="Dr. Rao"/>
    <n v="43897"/>
    <x v="2"/>
    <x v="1"/>
    <x v="0"/>
    <d v="2023-10-27T00:00:00"/>
    <d v="2023-10-27T13:00:00"/>
    <s v="MRI"/>
    <s v="Accepted"/>
    <s v="Night"/>
    <n v="10"/>
    <n v="12"/>
    <s v="Plan B"/>
    <x v="15"/>
  </r>
  <r>
    <x v="939"/>
    <x v="46"/>
    <x v="2"/>
    <x v="455"/>
    <d v="2023-04-02T00:00:00"/>
    <x v="11"/>
    <x v="1"/>
    <n v="3"/>
    <s v="Dr. Patel"/>
    <n v="48183"/>
    <x v="2"/>
    <x v="0"/>
    <x v="1"/>
    <d v="2023-01-22T00:00:00"/>
    <d v="2023-01-22T09:00:00"/>
    <s v="Ultrasound"/>
    <s v="Accepted"/>
    <s v="Night"/>
    <n v="10"/>
    <n v="12"/>
    <s v="Plan B"/>
    <x v="1"/>
  </r>
  <r>
    <x v="940"/>
    <x v="45"/>
    <x v="5"/>
    <x v="72"/>
    <d v="2024-02-17T00:00:00"/>
    <x v="1"/>
    <x v="4"/>
    <n v="1"/>
    <s v="Dr. Rao"/>
    <n v="9482"/>
    <x v="3"/>
    <x v="1"/>
    <x v="0"/>
    <d v="2024-10-02T00:00:00"/>
    <d v="2024-11-02T14:00:00"/>
    <s v="CT Scan"/>
    <s v="Accepted"/>
    <s v="Afternoon"/>
    <n v="5"/>
    <n v="10"/>
    <s v="Plan A"/>
    <x v="20"/>
  </r>
  <r>
    <x v="941"/>
    <x v="88"/>
    <x v="2"/>
    <x v="2"/>
    <d v="2023-11-10T00:00:00"/>
    <x v="2"/>
    <x v="5"/>
    <n v="2"/>
    <s v="Dr. Mehta"/>
    <n v="47454"/>
    <x v="1"/>
    <x v="0"/>
    <x v="0"/>
    <d v="2023-09-10T00:00:00"/>
    <d v="2023-09-10T07:00:00"/>
    <s v="Blood Test"/>
    <s v="Accepted"/>
    <s v="Morning"/>
    <n v="11"/>
    <n v="8"/>
    <s v="Plan A"/>
    <x v="2"/>
  </r>
  <r>
    <x v="942"/>
    <x v="62"/>
    <x v="0"/>
    <x v="207"/>
    <d v="2023-01-16T00:00:00"/>
    <x v="1"/>
    <x v="4"/>
    <n v="5"/>
    <s v="Dr. Sharma"/>
    <n v="30428"/>
    <x v="3"/>
    <x v="1"/>
    <x v="1"/>
    <d v="2023-05-01T00:00:00"/>
    <d v="2023-05-01T10:00:00"/>
    <s v="Ultrasound"/>
    <s v="Accepted"/>
    <s v="Afternoon"/>
    <n v="7"/>
    <n v="12"/>
    <s v="Plan A"/>
    <x v="2"/>
  </r>
  <r>
    <x v="943"/>
    <x v="65"/>
    <x v="0"/>
    <x v="456"/>
    <d v="2023-02-03T00:00:00"/>
    <x v="12"/>
    <x v="3"/>
    <n v="4"/>
    <s v="Dr. Patel"/>
    <n v="12400"/>
    <x v="4"/>
    <x v="0"/>
    <x v="0"/>
    <d v="2023-02-19T00:00:00"/>
    <d v="2023-02-19T07:00:00"/>
    <s v="MRI"/>
    <s v="Accepted"/>
    <s v="Night"/>
    <n v="9"/>
    <n v="8"/>
    <s v="Plan B"/>
    <x v="7"/>
  </r>
  <r>
    <x v="944"/>
    <x v="88"/>
    <x v="5"/>
    <x v="457"/>
    <d v="2024-06-06T00:00:00"/>
    <x v="13"/>
    <x v="1"/>
    <n v="3"/>
    <s v="Dr. Rao"/>
    <n v="44574"/>
    <x v="3"/>
    <x v="1"/>
    <x v="0"/>
    <d v="2024-05-22T00:00:00"/>
    <d v="2024-05-22T11:00:00"/>
    <s v="CT Scan"/>
    <s v="Accepted"/>
    <s v="Night"/>
    <n v="8"/>
    <n v="8"/>
    <s v="Plan B"/>
    <x v="12"/>
  </r>
  <r>
    <x v="945"/>
    <x v="39"/>
    <x v="4"/>
    <x v="274"/>
    <d v="2023-10-24T00:00:00"/>
    <x v="3"/>
    <x v="3"/>
    <n v="5"/>
    <s v="Dr. Gupta"/>
    <n v="48284"/>
    <x v="2"/>
    <x v="1"/>
    <x v="0"/>
    <d v="2023-10-20T00:00:00"/>
    <d v="2023-10-21T05:00:00"/>
    <s v="Ultrasound"/>
    <s v="Accepted"/>
    <s v="Morning"/>
    <n v="11"/>
    <n v="12"/>
    <s v="Plan C"/>
    <x v="15"/>
  </r>
  <r>
    <x v="946"/>
    <x v="13"/>
    <x v="1"/>
    <x v="132"/>
    <d v="2023-02-09T00:00:00"/>
    <x v="9"/>
    <x v="3"/>
    <n v="5"/>
    <s v="Dr. Sharma"/>
    <n v="12396"/>
    <x v="3"/>
    <x v="1"/>
    <x v="1"/>
    <d v="2023-08-20T00:00:00"/>
    <d v="2023-08-21T06:00:00"/>
    <s v="Blood Test"/>
    <s v="Accepted"/>
    <s v="Night"/>
    <n v="6"/>
    <n v="10"/>
    <s v="Plan B"/>
    <x v="3"/>
  </r>
  <r>
    <x v="947"/>
    <x v="72"/>
    <x v="2"/>
    <x v="321"/>
    <d v="2024-01-01T00:00:00"/>
    <x v="5"/>
    <x v="0"/>
    <n v="2"/>
    <s v="Dr. Mehta"/>
    <n v="12338"/>
    <x v="0"/>
    <x v="1"/>
    <x v="1"/>
    <d v="2023-12-23T00:00:00"/>
    <d v="2023-12-23T21:00:00"/>
    <s v="CT Scan"/>
    <s v="Accepted"/>
    <s v="Night"/>
    <n v="9"/>
    <n v="8"/>
    <s v="Plan C"/>
    <x v="9"/>
  </r>
  <r>
    <x v="948"/>
    <x v="52"/>
    <x v="0"/>
    <x v="60"/>
    <d v="2023-08-19T00:00:00"/>
    <x v="10"/>
    <x v="2"/>
    <n v="1"/>
    <s v="Dr. Rao"/>
    <n v="47718"/>
    <x v="4"/>
    <x v="1"/>
    <x v="1"/>
    <d v="2023-11-08T00:00:00"/>
    <d v="2023-12-08T03:00:00"/>
    <s v="Ultrasound"/>
    <s v="Accepted"/>
    <s v="Night"/>
    <n v="6"/>
    <n v="10"/>
    <s v="Plan A"/>
    <x v="3"/>
  </r>
  <r>
    <x v="949"/>
    <x v="13"/>
    <x v="4"/>
    <x v="146"/>
    <d v="2023-07-16T00:00:00"/>
    <x v="2"/>
    <x v="0"/>
    <n v="2"/>
    <s v="Dr. Mehta"/>
    <n v="17500"/>
    <x v="3"/>
    <x v="1"/>
    <x v="0"/>
    <d v="2023-12-07T00:00:00"/>
    <d v="2023-12-07T08:00:00"/>
    <s v="Ultrasound"/>
    <s v="Accepted"/>
    <s v="Morning"/>
    <n v="8"/>
    <n v="12"/>
    <s v="Plan B"/>
    <x v="11"/>
  </r>
  <r>
    <x v="950"/>
    <x v="37"/>
    <x v="5"/>
    <x v="414"/>
    <d v="2023-09-16T00:00:00"/>
    <x v="2"/>
    <x v="1"/>
    <n v="1"/>
    <s v="Dr. Mehta"/>
    <n v="16545"/>
    <x v="2"/>
    <x v="0"/>
    <x v="0"/>
    <d v="2023-12-09T00:00:00"/>
    <d v="2023-09-13T11:00:00"/>
    <s v="Ultrasound"/>
    <s v="Accepted"/>
    <s v="Night"/>
    <n v="5"/>
    <n v="8"/>
    <s v="Plan A"/>
    <x v="2"/>
  </r>
  <r>
    <x v="951"/>
    <x v="59"/>
    <x v="3"/>
    <x v="458"/>
    <d v="2023-05-27T00:00:00"/>
    <x v="10"/>
    <x v="3"/>
    <n v="1"/>
    <s v="Dr. Patel"/>
    <n v="10241"/>
    <x v="4"/>
    <x v="0"/>
    <x v="1"/>
    <d v="2023-05-18T00:00:00"/>
    <d v="2023-05-18T23:00:00"/>
    <s v="X-Ray"/>
    <s v="Accepted"/>
    <s v="Afternoon"/>
    <n v="10"/>
    <n v="10"/>
    <s v="Plan A"/>
    <x v="4"/>
  </r>
  <r>
    <x v="952"/>
    <x v="48"/>
    <x v="0"/>
    <x v="29"/>
    <d v="2023-04-21T00:00:00"/>
    <x v="0"/>
    <x v="5"/>
    <n v="5"/>
    <s v="Dr. Patel"/>
    <n v="28778"/>
    <x v="2"/>
    <x v="1"/>
    <x v="1"/>
    <d v="2023-10-04T00:00:00"/>
    <d v="2023-10-04T14:00:00"/>
    <s v="MRI"/>
    <s v="Rejected"/>
    <s v="Morning"/>
    <n v="6"/>
    <n v="10"/>
    <s v="Plan A"/>
    <x v="15"/>
  </r>
  <r>
    <x v="953"/>
    <x v="31"/>
    <x v="5"/>
    <x v="189"/>
    <d v="2023-02-15T00:00:00"/>
    <x v="5"/>
    <x v="3"/>
    <n v="1"/>
    <s v="Dr. Rao"/>
    <n v="27821"/>
    <x v="1"/>
    <x v="0"/>
    <x v="0"/>
    <d v="2023-08-02T00:00:00"/>
    <d v="2023-09-02T05:00:00"/>
    <s v="CT Scan"/>
    <s v="Accepted"/>
    <s v="Afternoon"/>
    <n v="4"/>
    <n v="8"/>
    <s v="Plan A"/>
    <x v="15"/>
  </r>
  <r>
    <x v="954"/>
    <x v="80"/>
    <x v="2"/>
    <x v="265"/>
    <d v="2023-11-18T00:00:00"/>
    <x v="5"/>
    <x v="5"/>
    <n v="3"/>
    <s v="Dr. Gupta"/>
    <n v="9695"/>
    <x v="0"/>
    <x v="1"/>
    <x v="0"/>
    <d v="2023-10-11T00:00:00"/>
    <d v="2023-10-11T20:00:00"/>
    <s v="CT Scan"/>
    <s v="Accepted"/>
    <s v="Afternoon"/>
    <n v="9"/>
    <n v="10"/>
    <s v="Plan B"/>
    <x v="14"/>
  </r>
  <r>
    <x v="955"/>
    <x v="36"/>
    <x v="1"/>
    <x v="385"/>
    <d v="2024-04-04T00:00:00"/>
    <x v="6"/>
    <x v="0"/>
    <n v="3"/>
    <s v="Dr. Rao"/>
    <n v="16530"/>
    <x v="1"/>
    <x v="1"/>
    <x v="0"/>
    <d v="2024-03-24T00:00:00"/>
    <d v="2024-03-25T06:00:00"/>
    <s v="CT Scan"/>
    <s v="Rejected"/>
    <s v="Morning"/>
    <n v="11"/>
    <n v="10"/>
    <s v="Plan A"/>
    <x v="16"/>
  </r>
  <r>
    <x v="956"/>
    <x v="7"/>
    <x v="0"/>
    <x v="459"/>
    <d v="2023-02-14T00:00:00"/>
    <x v="12"/>
    <x v="0"/>
    <n v="3"/>
    <s v="Dr. Gupta"/>
    <n v="19318"/>
    <x v="0"/>
    <x v="1"/>
    <x v="0"/>
    <d v="2023-01-31T00:00:00"/>
    <d v="2023-01-31T17:00:00"/>
    <s v="Ultrasound"/>
    <s v="Accepted"/>
    <s v="Afternoon"/>
    <n v="11"/>
    <n v="12"/>
    <s v="Plan C"/>
    <x v="0"/>
  </r>
  <r>
    <x v="957"/>
    <x v="1"/>
    <x v="0"/>
    <x v="48"/>
    <d v="2024-01-21T00:00:00"/>
    <x v="11"/>
    <x v="2"/>
    <n v="5"/>
    <s v="Dr. Mehta"/>
    <n v="27331"/>
    <x v="3"/>
    <x v="1"/>
    <x v="0"/>
    <d v="2024-08-01T00:00:00"/>
    <d v="2024-08-01T08:00:00"/>
    <s v="MRI"/>
    <s v="Accepted"/>
    <s v="Morning"/>
    <n v="6"/>
    <n v="12"/>
    <s v="Plan B"/>
    <x v="18"/>
  </r>
  <r>
    <x v="958"/>
    <x v="9"/>
    <x v="2"/>
    <x v="195"/>
    <d v="2023-05-22T00:00:00"/>
    <x v="1"/>
    <x v="3"/>
    <n v="2"/>
    <s v="Dr. Sharma"/>
    <n v="31355"/>
    <x v="4"/>
    <x v="1"/>
    <x v="1"/>
    <d v="2023-10-05T00:00:00"/>
    <d v="2023-10-05T06:00:00"/>
    <s v="Blood Test"/>
    <s v="Accepted"/>
    <s v="Afternoon"/>
    <n v="8"/>
    <n v="10"/>
    <s v="Plan A"/>
    <x v="4"/>
  </r>
  <r>
    <x v="959"/>
    <x v="15"/>
    <x v="3"/>
    <x v="446"/>
    <d v="2023-06-04T00:00:00"/>
    <x v="3"/>
    <x v="4"/>
    <n v="4"/>
    <s v="Dr. Rao"/>
    <n v="16324"/>
    <x v="3"/>
    <x v="0"/>
    <x v="0"/>
    <d v="2023-02-04T00:00:00"/>
    <d v="2023-02-04T11:00:00"/>
    <s v="CT Scan"/>
    <s v="Accepted"/>
    <s v="Morning"/>
    <n v="10"/>
    <n v="10"/>
    <s v="Plan B"/>
    <x v="5"/>
  </r>
  <r>
    <x v="960"/>
    <x v="41"/>
    <x v="4"/>
    <x v="268"/>
    <d v="2023-11-11T00:00:00"/>
    <x v="11"/>
    <x v="0"/>
    <n v="1"/>
    <s v="Dr. Rao"/>
    <n v="33149"/>
    <x v="0"/>
    <x v="1"/>
    <x v="0"/>
    <d v="2023-10-28T00:00:00"/>
    <d v="2023-10-29T20:00:00"/>
    <s v="MRI"/>
    <s v="Accepted"/>
    <s v="Night"/>
    <n v="4"/>
    <n v="8"/>
    <s v="Plan C"/>
    <x v="15"/>
  </r>
  <r>
    <x v="961"/>
    <x v="22"/>
    <x v="1"/>
    <x v="267"/>
    <d v="2023-09-12T00:00:00"/>
    <x v="6"/>
    <x v="0"/>
    <n v="4"/>
    <s v="Dr. Gupta"/>
    <n v="8218"/>
    <x v="0"/>
    <x v="1"/>
    <x v="0"/>
    <d v="2023-11-26T00:00:00"/>
    <d v="2023-11-26T20:00:00"/>
    <s v="MRI"/>
    <s v="Rejected"/>
    <s v="Night"/>
    <n v="11"/>
    <n v="12"/>
    <s v="Plan A"/>
    <x v="1"/>
  </r>
  <r>
    <x v="962"/>
    <x v="81"/>
    <x v="0"/>
    <x v="316"/>
    <d v="2024-07-03T00:00:00"/>
    <x v="10"/>
    <x v="2"/>
    <n v="2"/>
    <s v="Dr. Mehta"/>
    <n v="25141"/>
    <x v="0"/>
    <x v="1"/>
    <x v="0"/>
    <d v="2024-01-03T00:00:00"/>
    <d v="2024-02-03T22:00:00"/>
    <s v="X-Ray"/>
    <s v="Accepted"/>
    <s v="Afternoon"/>
    <n v="6"/>
    <n v="8"/>
    <s v="Plan C"/>
    <x v="10"/>
  </r>
  <r>
    <x v="963"/>
    <x v="26"/>
    <x v="1"/>
    <x v="416"/>
    <d v="2023-07-07T00:00:00"/>
    <x v="6"/>
    <x v="5"/>
    <n v="2"/>
    <s v="Dr. Mehta"/>
    <n v="41784"/>
    <x v="2"/>
    <x v="0"/>
    <x v="1"/>
    <d v="2023-06-24T00:00:00"/>
    <d v="2023-06-25T21:00:00"/>
    <s v="CT Scan"/>
    <s v="Accepted"/>
    <s v="Night"/>
    <n v="10"/>
    <n v="10"/>
    <s v="Plan A"/>
    <x v="8"/>
  </r>
  <r>
    <x v="964"/>
    <x v="17"/>
    <x v="0"/>
    <x v="122"/>
    <d v="2023-07-26T00:00:00"/>
    <x v="4"/>
    <x v="2"/>
    <n v="5"/>
    <s v="Dr. Gupta"/>
    <n v="7837"/>
    <x v="4"/>
    <x v="1"/>
    <x v="1"/>
    <d v="2023-07-20T00:00:00"/>
    <d v="2023-07-21T15:00:00"/>
    <s v="Ultrasound"/>
    <s v="Accepted"/>
    <s v="Morning"/>
    <n v="8"/>
    <n v="8"/>
    <s v="Plan C"/>
    <x v="11"/>
  </r>
  <r>
    <x v="965"/>
    <x v="45"/>
    <x v="1"/>
    <x v="142"/>
    <d v="2023-05-28T00:00:00"/>
    <x v="11"/>
    <x v="3"/>
    <n v="3"/>
    <s v="Dr. Mehta"/>
    <n v="44802"/>
    <x v="3"/>
    <x v="0"/>
    <x v="0"/>
    <d v="2023-05-16T00:00:00"/>
    <d v="2023-05-16T03:00:00"/>
    <s v="MRI"/>
    <s v="Accepted"/>
    <s v="Afternoon"/>
    <n v="5"/>
    <n v="10"/>
    <s v="Plan A"/>
    <x v="4"/>
  </r>
  <r>
    <x v="966"/>
    <x v="42"/>
    <x v="5"/>
    <x v="460"/>
    <d v="2024-01-24T00:00:00"/>
    <x v="13"/>
    <x v="1"/>
    <n v="3"/>
    <s v="Dr. Patel"/>
    <n v="45077"/>
    <x v="3"/>
    <x v="0"/>
    <x v="1"/>
    <d v="2024-10-01T00:00:00"/>
    <d v="2024-10-01T14:00:00"/>
    <s v="MRI"/>
    <s v="Accepted"/>
    <s v="Night"/>
    <n v="8"/>
    <n v="12"/>
    <s v="Plan B"/>
    <x v="20"/>
  </r>
  <r>
    <x v="967"/>
    <x v="7"/>
    <x v="0"/>
    <x v="461"/>
    <d v="2024-12-06T00:00:00"/>
    <x v="8"/>
    <x v="1"/>
    <n v="2"/>
    <s v="Dr. Sharma"/>
    <n v="19379"/>
    <x v="1"/>
    <x v="0"/>
    <x v="1"/>
    <d v="2024-05-25T00:00:00"/>
    <d v="2024-05-25T21:00:00"/>
    <s v="Blood Test"/>
    <s v="Accepted"/>
    <s v="Night"/>
    <n v="5"/>
    <n v="12"/>
    <s v="Plan A"/>
    <x v="12"/>
  </r>
  <r>
    <x v="968"/>
    <x v="36"/>
    <x v="1"/>
    <x v="323"/>
    <d v="2023-10-13T00:00:00"/>
    <x v="10"/>
    <x v="5"/>
    <n v="5"/>
    <s v="Dr. Rao"/>
    <n v="9239"/>
    <x v="0"/>
    <x v="0"/>
    <x v="1"/>
    <d v="2023-04-10T00:00:00"/>
    <d v="2023-04-10T10:00:00"/>
    <s v="X-Ray"/>
    <s v="Accepted"/>
    <s v="Afternoon"/>
    <n v="11"/>
    <n v="10"/>
    <s v="Plan B"/>
    <x v="11"/>
  </r>
  <r>
    <x v="969"/>
    <x v="49"/>
    <x v="4"/>
    <x v="170"/>
    <d v="2023-06-28T00:00:00"/>
    <x v="12"/>
    <x v="0"/>
    <n v="5"/>
    <s v="Dr. Sharma"/>
    <n v="49896"/>
    <x v="0"/>
    <x v="1"/>
    <x v="1"/>
    <d v="2023-06-15T00:00:00"/>
    <d v="2023-06-15T06:00:00"/>
    <s v="MRI"/>
    <s v="Accepted"/>
    <s v="Night"/>
    <n v="10"/>
    <n v="12"/>
    <s v="Plan A"/>
    <x v="8"/>
  </r>
  <r>
    <x v="970"/>
    <x v="19"/>
    <x v="5"/>
    <x v="462"/>
    <d v="2023-09-28T00:00:00"/>
    <x v="1"/>
    <x v="5"/>
    <n v="1"/>
    <s v="Dr. Rao"/>
    <n v="25812"/>
    <x v="0"/>
    <x v="0"/>
    <x v="0"/>
    <d v="2023-09-17T00:00:00"/>
    <d v="2023-09-18T22:00:00"/>
    <s v="MRI"/>
    <s v="Rejected"/>
    <s v="Night"/>
    <n v="10"/>
    <n v="10"/>
    <s v="Plan A"/>
    <x v="2"/>
  </r>
  <r>
    <x v="971"/>
    <x v="41"/>
    <x v="5"/>
    <x v="463"/>
    <d v="2024-05-13T00:00:00"/>
    <x v="5"/>
    <x v="0"/>
    <n v="3"/>
    <s v="Dr. Patel"/>
    <n v="34669"/>
    <x v="3"/>
    <x v="1"/>
    <x v="1"/>
    <d v="2024-05-05T00:00:00"/>
    <d v="2024-05-05T16:00:00"/>
    <s v="Ultrasound"/>
    <s v="Accepted"/>
    <s v="Afternoon"/>
    <n v="4"/>
    <n v="8"/>
    <s v="Plan C"/>
    <x v="6"/>
  </r>
  <r>
    <x v="972"/>
    <x v="60"/>
    <x v="4"/>
    <x v="268"/>
    <d v="2023-10-11T00:00:00"/>
    <x v="0"/>
    <x v="0"/>
    <n v="2"/>
    <s v="Dr. Mehta"/>
    <n v="14611"/>
    <x v="1"/>
    <x v="0"/>
    <x v="0"/>
    <d v="2023-10-30T00:00:00"/>
    <d v="2023-10-30T23:00:00"/>
    <s v="Ultrasound"/>
    <s v="Accepted"/>
    <s v="Night"/>
    <n v="8"/>
    <n v="10"/>
    <s v="Plan C"/>
    <x v="15"/>
  </r>
  <r>
    <x v="973"/>
    <x v="52"/>
    <x v="1"/>
    <x v="130"/>
    <d v="2023-12-26T00:00:00"/>
    <x v="14"/>
    <x v="1"/>
    <n v="4"/>
    <s v="Dr. Gupta"/>
    <n v="9150"/>
    <x v="2"/>
    <x v="0"/>
    <x v="0"/>
    <d v="2023-08-12T00:00:00"/>
    <d v="2023-09-12T02:00:00"/>
    <s v="Blood Test"/>
    <s v="Accepted"/>
    <s v="Night"/>
    <n v="7"/>
    <n v="8"/>
    <s v="Plan C"/>
    <x v="9"/>
  </r>
  <r>
    <x v="974"/>
    <x v="16"/>
    <x v="2"/>
    <x v="93"/>
    <d v="2023-04-29T00:00:00"/>
    <x v="4"/>
    <x v="5"/>
    <n v="3"/>
    <s v="Dr. Patel"/>
    <n v="16109"/>
    <x v="4"/>
    <x v="0"/>
    <x v="0"/>
    <d v="2023-04-28T00:00:00"/>
    <d v="2023-04-29T09:00:00"/>
    <s v="Blood Test"/>
    <s v="Accepted"/>
    <s v="Night"/>
    <n v="11"/>
    <n v="10"/>
    <s v="Plan A"/>
    <x v="0"/>
  </r>
  <r>
    <x v="975"/>
    <x v="11"/>
    <x v="4"/>
    <x v="90"/>
    <d v="2024-04-26T00:00:00"/>
    <x v="2"/>
    <x v="2"/>
    <n v="1"/>
    <s v="Dr. Sharma"/>
    <n v="39214"/>
    <x v="2"/>
    <x v="1"/>
    <x v="1"/>
    <d v="2024-04-19T00:00:00"/>
    <d v="2024-04-19T04:00:00"/>
    <s v="Blood Test"/>
    <s v="Accepted"/>
    <s v="Night"/>
    <n v="9"/>
    <n v="12"/>
    <s v="Plan A"/>
    <x v="13"/>
  </r>
  <r>
    <x v="976"/>
    <x v="17"/>
    <x v="1"/>
    <x v="162"/>
    <d v="2023-03-30T00:00:00"/>
    <x v="0"/>
    <x v="0"/>
    <n v="5"/>
    <s v="Dr. Gupta"/>
    <n v="31016"/>
    <x v="3"/>
    <x v="1"/>
    <x v="0"/>
    <d v="2023-03-18T00:00:00"/>
    <d v="2023-03-19T20:00:00"/>
    <s v="Ultrasound"/>
    <s v="Accepted"/>
    <s v="Afternoon"/>
    <n v="7"/>
    <n v="10"/>
    <s v="Plan A"/>
    <x v="5"/>
  </r>
  <r>
    <x v="977"/>
    <x v="16"/>
    <x v="4"/>
    <x v="464"/>
    <d v="2023-05-06T00:00:00"/>
    <x v="0"/>
    <x v="4"/>
    <n v="2"/>
    <s v="Dr. Mehta"/>
    <n v="16936"/>
    <x v="0"/>
    <x v="0"/>
    <x v="1"/>
    <d v="2023-05-25T00:00:00"/>
    <d v="2023-05-25T20:00:00"/>
    <s v="Ultrasound"/>
    <s v="Accepted"/>
    <s v="Morning"/>
    <n v="11"/>
    <n v="10"/>
    <s v="Plan B"/>
    <x v="4"/>
  </r>
  <r>
    <x v="978"/>
    <x v="2"/>
    <x v="4"/>
    <x v="395"/>
    <d v="2023-08-27T00:00:00"/>
    <x v="1"/>
    <x v="4"/>
    <n v="3"/>
    <s v="Dr. Patel"/>
    <n v="16036"/>
    <x v="4"/>
    <x v="1"/>
    <x v="0"/>
    <d v="2023-08-17T00:00:00"/>
    <d v="2023-08-17T17:00:00"/>
    <s v="X-Ray"/>
    <s v="Accepted"/>
    <s v="Morning"/>
    <n v="7"/>
    <n v="10"/>
    <s v="Plan B"/>
    <x v="3"/>
  </r>
  <r>
    <x v="979"/>
    <x v="61"/>
    <x v="0"/>
    <x v="347"/>
    <d v="2024-02-17T00:00:00"/>
    <x v="10"/>
    <x v="2"/>
    <n v="4"/>
    <s v="Dr. Gupta"/>
    <n v="44236"/>
    <x v="3"/>
    <x v="1"/>
    <x v="0"/>
    <d v="2024-08-02T00:00:00"/>
    <d v="2024-08-02T12:00:00"/>
    <s v="CT Scan"/>
    <s v="Rejected"/>
    <s v="Night"/>
    <n v="7"/>
    <n v="12"/>
    <s v="Plan A"/>
    <x v="23"/>
  </r>
  <r>
    <x v="980"/>
    <x v="35"/>
    <x v="1"/>
    <x v="460"/>
    <d v="2024-01-19T00:00:00"/>
    <x v="9"/>
    <x v="4"/>
    <n v="1"/>
    <s v="Dr. Patel"/>
    <n v="19021"/>
    <x v="3"/>
    <x v="1"/>
    <x v="0"/>
    <d v="2024-05-01T00:00:00"/>
    <d v="2024-05-01T02:00:00"/>
    <s v="CT Scan"/>
    <s v="Accepted"/>
    <s v="Night"/>
    <n v="9"/>
    <n v="10"/>
    <s v="Plan C"/>
    <x v="20"/>
  </r>
  <r>
    <x v="981"/>
    <x v="17"/>
    <x v="2"/>
    <x v="446"/>
    <d v="2023-04-16T00:00:00"/>
    <x v="14"/>
    <x v="3"/>
    <n v="1"/>
    <s v="Dr. Patel"/>
    <n v="41943"/>
    <x v="3"/>
    <x v="0"/>
    <x v="0"/>
    <d v="2023-01-04T00:00:00"/>
    <d v="2023-02-04T02:00:00"/>
    <s v="X-Ray"/>
    <s v="Rejected"/>
    <s v="Morning"/>
    <n v="7"/>
    <n v="12"/>
    <s v="Plan C"/>
    <x v="5"/>
  </r>
  <r>
    <x v="982"/>
    <x v="14"/>
    <x v="0"/>
    <x v="465"/>
    <d v="2024-02-21T00:00:00"/>
    <x v="11"/>
    <x v="0"/>
    <n v="3"/>
    <s v="Dr. Mehta"/>
    <n v="42848"/>
    <x v="4"/>
    <x v="1"/>
    <x v="0"/>
    <d v="2024-05-02T00:00:00"/>
    <d v="2024-06-02T05:00:00"/>
    <s v="CT Scan"/>
    <s v="Accepted"/>
    <s v="Night"/>
    <n v="5"/>
    <n v="10"/>
    <s v="Plan C"/>
    <x v="18"/>
  </r>
  <r>
    <x v="983"/>
    <x v="41"/>
    <x v="4"/>
    <x v="380"/>
    <d v="2023-01-26T00:00:00"/>
    <x v="0"/>
    <x v="2"/>
    <n v="4"/>
    <s v="Dr. Rao"/>
    <n v="20471"/>
    <x v="4"/>
    <x v="1"/>
    <x v="0"/>
    <d v="2023-01-15T00:00:00"/>
    <d v="2023-01-16T12:00:00"/>
    <s v="Ultrasound"/>
    <s v="Accepted"/>
    <s v="Morning"/>
    <n v="8"/>
    <n v="8"/>
    <s v="Plan A"/>
    <x v="1"/>
  </r>
  <r>
    <x v="984"/>
    <x v="53"/>
    <x v="3"/>
    <x v="32"/>
    <d v="2023-01-10T00:00:00"/>
    <x v="3"/>
    <x v="5"/>
    <n v="1"/>
    <s v="Dr. Gupta"/>
    <n v="28244"/>
    <x v="1"/>
    <x v="1"/>
    <x v="0"/>
    <d v="2023-09-24T00:00:00"/>
    <d v="2023-09-26T00:00:00"/>
    <s v="CT Scan"/>
    <s v="Accepted"/>
    <s v="Afternoon"/>
    <n v="10"/>
    <n v="10"/>
    <s v="Plan C"/>
    <x v="2"/>
  </r>
  <r>
    <x v="985"/>
    <x v="66"/>
    <x v="4"/>
    <x v="466"/>
    <d v="2023-08-05T00:00:00"/>
    <x v="4"/>
    <x v="0"/>
    <n v="2"/>
    <s v="Dr. Mehta"/>
    <n v="43985"/>
    <x v="1"/>
    <x v="1"/>
    <x v="0"/>
    <d v="2023-07-05T00:00:00"/>
    <d v="2023-08-05T12:00:00"/>
    <s v="Ultrasound"/>
    <s v="Accepted"/>
    <s v="Afternoon"/>
    <n v="4"/>
    <n v="8"/>
    <s v="Plan A"/>
    <x v="11"/>
  </r>
  <r>
    <x v="986"/>
    <x v="62"/>
    <x v="4"/>
    <x v="173"/>
    <d v="2024-04-13T00:00:00"/>
    <x v="3"/>
    <x v="2"/>
    <n v="1"/>
    <s v="Dr. Patel"/>
    <n v="43440"/>
    <x v="2"/>
    <x v="0"/>
    <x v="0"/>
    <d v="2024-09-04T00:00:00"/>
    <d v="2024-09-04T16:00:00"/>
    <s v="X-Ray"/>
    <s v="Accepted"/>
    <s v="Afternoon"/>
    <n v="7"/>
    <n v="12"/>
    <s v="Plan B"/>
    <x v="20"/>
  </r>
  <r>
    <x v="987"/>
    <x v="5"/>
    <x v="1"/>
    <x v="342"/>
    <d v="2024-01-27T00:00:00"/>
    <x v="13"/>
    <x v="1"/>
    <n v="4"/>
    <s v="Dr. Mehta"/>
    <n v="6502"/>
    <x v="4"/>
    <x v="0"/>
    <x v="0"/>
    <d v="2024-12-01T00:00:00"/>
    <d v="2024-12-01T07:00:00"/>
    <s v="Blood Test"/>
    <s v="Accepted"/>
    <s v="Afternoon"/>
    <n v="10"/>
    <n v="12"/>
    <s v="Plan C"/>
    <x v="10"/>
  </r>
  <r>
    <x v="988"/>
    <x v="42"/>
    <x v="1"/>
    <x v="223"/>
    <d v="2023-06-10T00:00:00"/>
    <x v="12"/>
    <x v="5"/>
    <n v="5"/>
    <s v="Dr. Rao"/>
    <n v="39178"/>
    <x v="4"/>
    <x v="0"/>
    <x v="0"/>
    <d v="2023-09-21T00:00:00"/>
    <d v="2023-09-22T06:00:00"/>
    <s v="X-Ray"/>
    <s v="Accepted"/>
    <s v="Afternoon"/>
    <n v="7"/>
    <n v="10"/>
    <s v="Plan B"/>
    <x v="2"/>
  </r>
  <r>
    <x v="989"/>
    <x v="55"/>
    <x v="0"/>
    <x v="89"/>
    <d v="2024-06-02T00:00:00"/>
    <x v="0"/>
    <x v="1"/>
    <n v="5"/>
    <s v="Dr. Gupta"/>
    <n v="8770"/>
    <x v="4"/>
    <x v="1"/>
    <x v="0"/>
    <d v="2024-01-22T00:00:00"/>
    <d v="2024-01-22T07:00:00"/>
    <s v="CT Scan"/>
    <s v="Rejected"/>
    <s v="Afternoon"/>
    <n v="11"/>
    <n v="12"/>
    <s v="Plan C"/>
    <x v="10"/>
  </r>
  <r>
    <x v="990"/>
    <x v="26"/>
    <x v="2"/>
    <x v="467"/>
    <d v="2024-01-29T00:00:00"/>
    <x v="14"/>
    <x v="0"/>
    <n v="3"/>
    <s v="Dr. Rao"/>
    <n v="47865"/>
    <x v="1"/>
    <x v="0"/>
    <x v="0"/>
    <d v="2024-01-13T00:00:00"/>
    <d v="2024-01-13T09:00:00"/>
    <s v="Ultrasound"/>
    <s v="Accepted"/>
    <s v="Morning"/>
    <n v="4"/>
    <n v="10"/>
    <s v="Plan A"/>
    <x v="10"/>
  </r>
  <r>
    <x v="991"/>
    <x v="34"/>
    <x v="0"/>
    <x v="240"/>
    <d v="2023-04-29T00:00:00"/>
    <x v="6"/>
    <x v="5"/>
    <n v="4"/>
    <s v="Dr. Sharma"/>
    <n v="9001"/>
    <x v="3"/>
    <x v="1"/>
    <x v="0"/>
    <d v="2023-04-19T00:00:00"/>
    <d v="2023-04-19T08:00:00"/>
    <s v="CT Scan"/>
    <s v="Accepted"/>
    <s v="Night"/>
    <n v="11"/>
    <n v="12"/>
    <s v="Plan A"/>
    <x v="0"/>
  </r>
  <r>
    <x v="992"/>
    <x v="21"/>
    <x v="5"/>
    <x v="408"/>
    <d v="2023-08-29T00:00:00"/>
    <x v="4"/>
    <x v="4"/>
    <n v="1"/>
    <s v="Dr. Gupta"/>
    <n v="25946"/>
    <x v="0"/>
    <x v="1"/>
    <x v="1"/>
    <d v="2023-08-28T00:00:00"/>
    <d v="2023-08-28T01:00:00"/>
    <s v="CT Scan"/>
    <s v="Accepted"/>
    <s v="Morning"/>
    <n v="4"/>
    <n v="8"/>
    <s v="Plan A"/>
    <x v="3"/>
  </r>
  <r>
    <x v="993"/>
    <x v="24"/>
    <x v="4"/>
    <x v="468"/>
    <d v="2024-04-30T00:00:00"/>
    <x v="3"/>
    <x v="2"/>
    <n v="1"/>
    <s v="Dr. Rao"/>
    <n v="5598"/>
    <x v="1"/>
    <x v="1"/>
    <x v="0"/>
    <d v="2024-04-27T00:00:00"/>
    <d v="2024-04-27T04:00:00"/>
    <s v="Blood Test"/>
    <s v="Accepted"/>
    <s v="Afternoon"/>
    <n v="7"/>
    <n v="12"/>
    <s v="Plan A"/>
    <x v="13"/>
  </r>
  <r>
    <x v="994"/>
    <x v="21"/>
    <x v="3"/>
    <x v="1"/>
    <d v="2023-01-28T00:00:00"/>
    <x v="2"/>
    <x v="0"/>
    <n v="5"/>
    <s v="Dr. Patel"/>
    <n v="35316"/>
    <x v="4"/>
    <x v="1"/>
    <x v="1"/>
    <d v="2023-01-21T00:00:00"/>
    <d v="2023-01-21T15:00:00"/>
    <s v="CT Scan"/>
    <s v="Accepted"/>
    <s v="Night"/>
    <n v="5"/>
    <n v="8"/>
    <s v="Plan C"/>
    <x v="1"/>
  </r>
  <r>
    <x v="995"/>
    <x v="33"/>
    <x v="4"/>
    <x v="332"/>
    <d v="2023-06-12T00:00:00"/>
    <x v="7"/>
    <x v="3"/>
    <n v="5"/>
    <s v="Dr. Gupta"/>
    <n v="30567"/>
    <x v="1"/>
    <x v="1"/>
    <x v="0"/>
    <d v="2023-11-30T00:00:00"/>
    <d v="2023-11-30T09:00:00"/>
    <s v="Blood Test"/>
    <s v="Accepted"/>
    <s v="Night"/>
    <n v="10"/>
    <n v="10"/>
    <s v="Plan B"/>
    <x v="7"/>
  </r>
  <r>
    <x v="996"/>
    <x v="52"/>
    <x v="4"/>
    <x v="370"/>
    <d v="2023-08-28T00:00:00"/>
    <x v="14"/>
    <x v="5"/>
    <n v="2"/>
    <s v="Dr. Gupta"/>
    <n v="31508"/>
    <x v="2"/>
    <x v="1"/>
    <x v="1"/>
    <d v="2023-11-08T00:00:00"/>
    <d v="2023-11-08T13:00:00"/>
    <s v="Ultrasound"/>
    <s v="Accepted"/>
    <s v="Afternoon"/>
    <n v="4"/>
    <n v="10"/>
    <s v="Plan A"/>
    <x v="3"/>
  </r>
  <r>
    <x v="997"/>
    <x v="2"/>
    <x v="0"/>
    <x v="469"/>
    <d v="2023-03-17T00:00:00"/>
    <x v="0"/>
    <x v="5"/>
    <n v="5"/>
    <s v="Dr. Mehta"/>
    <n v="48744"/>
    <x v="4"/>
    <x v="1"/>
    <x v="1"/>
    <d v="2023-02-03T00:00:00"/>
    <d v="2023-03-03T02:00:00"/>
    <s v="Ultrasound"/>
    <s v="Accepted"/>
    <s v="Afternoon"/>
    <n v="8"/>
    <n v="10"/>
    <s v="Plan C"/>
    <x v="8"/>
  </r>
  <r>
    <x v="998"/>
    <x v="32"/>
    <x v="3"/>
    <x v="295"/>
    <d v="2024-04-26T00:00:00"/>
    <x v="10"/>
    <x v="0"/>
    <n v="2"/>
    <s v="Dr. Patel"/>
    <n v="44159"/>
    <x v="2"/>
    <x v="1"/>
    <x v="0"/>
    <d v="2024-04-15T00:00:00"/>
    <d v="2024-04-16T00:00:00"/>
    <s v="Blood Test"/>
    <s v="Accepted"/>
    <s v="Afternoon"/>
    <n v="10"/>
    <n v="8"/>
    <s v="Plan B"/>
    <x v="13"/>
  </r>
  <r>
    <x v="999"/>
    <x v="35"/>
    <x v="3"/>
    <x v="206"/>
    <d v="2023-12-11T00:00:00"/>
    <x v="10"/>
    <x v="0"/>
    <n v="1"/>
    <s v="Dr. Sharma"/>
    <n v="35276"/>
    <x v="4"/>
    <x v="0"/>
    <x v="0"/>
    <d v="2023-06-11T00:00:00"/>
    <d v="2023-07-11T20:00:00"/>
    <s v="X-Ray"/>
    <s v="Accepted"/>
    <s v="Afternoon"/>
    <n v="8"/>
    <n v="10"/>
    <s v="Plan A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EF2BC-177A-4660-BF7C-C584EBD2A49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B59" firstHeaderRow="1" firstDataRow="1" firstDataCol="1"/>
  <pivotFields count="25">
    <pivotField showAll="0"/>
    <pivotField showAll="0"/>
    <pivotField showAll="0"/>
    <pivotField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reatment Cost" fld="9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F0FBE-591B-4982-8F7A-56D92FBAED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5:G93" firstHeaderRow="1" firstDataRow="2" firstDataCol="1"/>
  <pivotFields count="25"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showAll="0"/>
    <pivotField showAll="0"/>
    <pivotField showAll="0"/>
    <pivotField showAll="0"/>
    <pivotField showAll="0"/>
    <pivotField axis="axisCol" dataField="1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Medication" fld="1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8AA08-E760-4AED-B5EC-956B1E68B8E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9:B122" firstHeaderRow="1" firstDataRow="1" firstDataCol="1" rowPageCount="1" colPageCount="1"/>
  <pivotFields count="25">
    <pivotField dataField="1" showAll="0"/>
    <pivotField showAll="0"/>
    <pivotField showAll="0">
      <items count="7">
        <item x="4"/>
        <item x="3"/>
        <item x="2"/>
        <item x="1"/>
        <item x="0"/>
        <item x="5"/>
        <item t="default"/>
      </items>
    </pivotField>
    <pivotField axis="axisRow"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>
      <items count="25">
        <item x="0"/>
        <item x="13"/>
        <item x="3"/>
        <item x="6"/>
        <item x="9"/>
        <item x="22"/>
        <item x="7"/>
        <item x="19"/>
        <item x="1"/>
        <item x="10"/>
        <item x="11"/>
        <item x="21"/>
        <item x="8"/>
        <item x="17"/>
        <item x="5"/>
        <item x="16"/>
        <item x="4"/>
        <item x="12"/>
        <item x="14"/>
        <item x="23"/>
        <item x="15"/>
        <item x="20"/>
        <item x="2"/>
        <item x="18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5">
        <item h="1" sd="0" x="0"/>
        <item h="1" sd="0" x="1"/>
        <item x="2"/>
        <item sd="0" x="3"/>
        <item t="default"/>
      </items>
    </pivotField>
  </pivotFields>
  <rowFields count="4">
    <field x="22"/>
    <field x="3"/>
    <field x="23"/>
    <field x="2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2" item="0" hier="-1"/>
  </pageField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AD0FA-A3AE-482D-9858-D1BE42D76B0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9:C136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 ID" fld="1" subtotal="count" baseField="0" baseItem="0"/>
    <dataField name="Distinct Count of Doctor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Doctor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79643-23C6-47C6-A29E-C690F5AABCF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5:C172" firstHeaderRow="1" firstDataRow="1" firstDataCol="0"/>
  <pivotFields count="25">
    <pivotField showAll="0"/>
    <pivotField showAll="0"/>
    <pivotField showAll="0"/>
    <pivotField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18165-0A4D-4ABA-A05F-F32A43C7B1F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8:B101" firstHeaderRow="1" firstDataRow="1" firstDataCol="1"/>
  <pivotFields count="25">
    <pivotField dataField="1" showAll="0"/>
    <pivotField showAll="0"/>
    <pivotField showAll="0">
      <items count="7">
        <item x="4"/>
        <item x="3"/>
        <item x="2"/>
        <item x="1"/>
        <item x="0"/>
        <item x="5"/>
        <item t="default"/>
      </items>
    </pivotField>
    <pivotField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Patient ID" fld="0" subtotal="count" showDataAs="percentOfCo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61B22-9050-4437-B0ED-8F5AA10EFD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4" firstHeaderRow="1" firstDataRow="1" firstDataCol="1"/>
  <pivotFields count="25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4"/>
        <item x="3"/>
        <item x="2"/>
        <item x="1"/>
        <item x="0"/>
        <item x="5"/>
        <item t="default"/>
      </items>
    </pivotField>
    <pivotField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dataField="1" showAll="0">
      <items count="16">
        <item x="4"/>
        <item x="2"/>
        <item x="3"/>
        <item x="7"/>
        <item x="5"/>
        <item x="10"/>
        <item x="1"/>
        <item x="6"/>
        <item x="9"/>
        <item x="12"/>
        <item x="0"/>
        <item x="11"/>
        <item x="14"/>
        <item x="13"/>
        <item x="8"/>
        <item t="default"/>
      </items>
    </pivotField>
    <pivotField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>
      <items count="25">
        <item x="0"/>
        <item x="13"/>
        <item x="3"/>
        <item x="6"/>
        <item x="9"/>
        <item x="22"/>
        <item x="7"/>
        <item x="19"/>
        <item x="1"/>
        <item x="10"/>
        <item x="11"/>
        <item x="21"/>
        <item x="8"/>
        <item x="17"/>
        <item x="5"/>
        <item x="16"/>
        <item x="4"/>
        <item x="12"/>
        <item x="14"/>
        <item x="23"/>
        <item x="15"/>
        <item x="20"/>
        <item x="2"/>
        <item x="18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tay Duration (days)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6EFA6-7278-4BA0-AAEC-8F0586A7A6E9}" name="Q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9:H32" firstHeaderRow="1" firstDataRow="2" firstDataCol="1"/>
  <pivotFields count="25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7">
        <item x="4"/>
        <item x="3"/>
        <item x="2"/>
        <item x="1"/>
        <item x="0"/>
        <item x="5"/>
        <item t="default"/>
      </items>
    </pivotField>
    <pivotField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showAll="0"/>
    <pivotField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5">
        <item x="18"/>
        <item x="2"/>
        <item x="20"/>
        <item x="15"/>
        <item x="23"/>
        <item x="14"/>
        <item x="12"/>
        <item x="4"/>
        <item x="16"/>
        <item x="5"/>
        <item x="17"/>
        <item x="8"/>
        <item x="21"/>
        <item x="11"/>
        <item x="10"/>
        <item x="1"/>
        <item x="19"/>
        <item x="7"/>
        <item x="22"/>
        <item x="9"/>
        <item x="6"/>
        <item x="3"/>
        <item x="13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1"/>
  </rowFields>
  <rowItems count="12">
    <i>
      <x v="1"/>
    </i>
    <i>
      <x v="3"/>
    </i>
    <i>
      <x v="5"/>
    </i>
    <i>
      <x v="8"/>
    </i>
    <i>
      <x v="9"/>
    </i>
    <i>
      <x v="11"/>
    </i>
    <i>
      <x v="13"/>
    </i>
    <i>
      <x v="15"/>
    </i>
    <i>
      <x v="19"/>
    </i>
    <i>
      <x v="21"/>
    </i>
    <i>
      <x v="2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tient ID" fld="0" subtotal="count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FD5DE-A094-4F5C-A069-DDB6E578F59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45" firstHeaderRow="1" firstDataRow="1" firstDataCol="1"/>
  <pivotFields count="25">
    <pivotField dataField="1" showAll="0"/>
    <pivotField showAll="0"/>
    <pivotField showAll="0"/>
    <pivotField numFmtId="22" showAll="0">
      <items count="471">
        <item x="104"/>
        <item x="339"/>
        <item x="111"/>
        <item x="426"/>
        <item x="431"/>
        <item x="228"/>
        <item x="235"/>
        <item x="400"/>
        <item x="139"/>
        <item x="53"/>
        <item x="396"/>
        <item x="267"/>
        <item x="350"/>
        <item x="380"/>
        <item x="165"/>
        <item x="368"/>
        <item x="107"/>
        <item x="320"/>
        <item x="131"/>
        <item x="455"/>
        <item x="249"/>
        <item x="1"/>
        <item x="345"/>
        <item x="15"/>
        <item x="255"/>
        <item x="324"/>
        <item x="10"/>
        <item x="261"/>
        <item x="9"/>
        <item x="135"/>
        <item x="393"/>
        <item x="226"/>
        <item x="98"/>
        <item x="194"/>
        <item x="66"/>
        <item x="101"/>
        <item x="332"/>
        <item x="33"/>
        <item x="220"/>
        <item x="42"/>
        <item x="284"/>
        <item x="84"/>
        <item x="456"/>
        <item x="164"/>
        <item x="218"/>
        <item x="336"/>
        <item x="391"/>
        <item x="152"/>
        <item x="62"/>
        <item x="180"/>
        <item x="171"/>
        <item x="405"/>
        <item x="398"/>
        <item x="446"/>
        <item x="188"/>
        <item x="237"/>
        <item x="52"/>
        <item x="110"/>
        <item x="415"/>
        <item x="208"/>
        <item x="251"/>
        <item x="41"/>
        <item x="134"/>
        <item x="54"/>
        <item x="198"/>
        <item x="201"/>
        <item x="403"/>
        <item x="162"/>
        <item x="309"/>
        <item x="37"/>
        <item x="45"/>
        <item x="184"/>
        <item x="190"/>
        <item x="327"/>
        <item x="278"/>
        <item x="113"/>
        <item x="357"/>
        <item x="7"/>
        <item x="96"/>
        <item x="459"/>
        <item x="154"/>
        <item x="83"/>
        <item x="127"/>
        <item x="311"/>
        <item x="450"/>
        <item x="215"/>
        <item x="112"/>
        <item x="59"/>
        <item x="196"/>
        <item x="423"/>
        <item x="200"/>
        <item x="46"/>
        <item x="6"/>
        <item x="234"/>
        <item x="209"/>
        <item x="421"/>
        <item x="100"/>
        <item x="212"/>
        <item x="240"/>
        <item x="157"/>
        <item x="85"/>
        <item x="0"/>
        <item x="388"/>
        <item x="93"/>
        <item x="211"/>
        <item x="317"/>
        <item x="27"/>
        <item x="296"/>
        <item x="392"/>
        <item x="418"/>
        <item x="68"/>
        <item x="364"/>
        <item x="372"/>
        <item x="271"/>
        <item x="137"/>
        <item x="222"/>
        <item x="195"/>
        <item x="142"/>
        <item x="298"/>
        <item x="210"/>
        <item x="328"/>
        <item x="436"/>
        <item x="458"/>
        <item x="80"/>
        <item x="5"/>
        <item x="159"/>
        <item x="464"/>
        <item x="411"/>
        <item x="74"/>
        <item x="443"/>
        <item x="435"/>
        <item x="449"/>
        <item x="283"/>
        <item x="291"/>
        <item x="227"/>
        <item x="469"/>
        <item x="11"/>
        <item x="86"/>
        <item x="330"/>
        <item x="70"/>
        <item x="144"/>
        <item x="213"/>
        <item x="206"/>
        <item x="254"/>
        <item x="22"/>
        <item x="422"/>
        <item x="103"/>
        <item x="49"/>
        <item x="56"/>
        <item x="170"/>
        <item x="119"/>
        <item x="167"/>
        <item x="343"/>
        <item x="277"/>
        <item x="451"/>
        <item x="55"/>
        <item x="402"/>
        <item x="270"/>
        <item x="416"/>
        <item x="293"/>
        <item x="21"/>
        <item x="425"/>
        <item x="87"/>
        <item x="147"/>
        <item x="466"/>
        <item x="432"/>
        <item x="160"/>
        <item x="169"/>
        <item x="290"/>
        <item x="323"/>
        <item x="238"/>
        <item x="439"/>
        <item x="146"/>
        <item x="363"/>
        <item x="40"/>
        <item x="250"/>
        <item x="377"/>
        <item x="287"/>
        <item x="263"/>
        <item x="409"/>
        <item x="16"/>
        <item x="245"/>
        <item x="122"/>
        <item x="217"/>
        <item x="193"/>
        <item x="318"/>
        <item x="133"/>
        <item x="389"/>
        <item x="35"/>
        <item x="176"/>
        <item x="386"/>
        <item x="141"/>
        <item x="3"/>
        <item x="381"/>
        <item x="273"/>
        <item x="221"/>
        <item x="60"/>
        <item x="18"/>
        <item x="370"/>
        <item x="244"/>
        <item x="4"/>
        <item x="337"/>
        <item x="129"/>
        <item x="395"/>
        <item x="378"/>
        <item x="43"/>
        <item x="63"/>
        <item x="132"/>
        <item x="312"/>
        <item x="406"/>
        <item x="13"/>
        <item x="408"/>
        <item x="186"/>
        <item x="166"/>
        <item x="207"/>
        <item x="242"/>
        <item x="67"/>
        <item x="116"/>
        <item x="24"/>
        <item x="373"/>
        <item x="25"/>
        <item x="356"/>
        <item x="2"/>
        <item x="248"/>
        <item x="161"/>
        <item x="414"/>
        <item x="91"/>
        <item x="335"/>
        <item x="260"/>
        <item x="453"/>
        <item x="341"/>
        <item x="462"/>
        <item x="359"/>
        <item x="305"/>
        <item x="331"/>
        <item x="192"/>
        <item x="223"/>
        <item x="77"/>
        <item x="32"/>
        <item x="75"/>
        <item x="410"/>
        <item x="199"/>
        <item x="189"/>
        <item x="29"/>
        <item x="340"/>
        <item x="401"/>
        <item x="185"/>
        <item x="374"/>
        <item x="76"/>
        <item x="361"/>
        <item x="371"/>
        <item x="281"/>
        <item x="140"/>
        <item x="360"/>
        <item x="214"/>
        <item x="376"/>
        <item x="279"/>
        <item x="205"/>
        <item x="174"/>
        <item x="274"/>
        <item x="430"/>
        <item x="407"/>
        <item x="44"/>
        <item x="404"/>
        <item x="382"/>
        <item x="38"/>
        <item x="369"/>
        <item x="268"/>
        <item x="177"/>
        <item x="362"/>
        <item x="338"/>
        <item x="136"/>
        <item x="153"/>
        <item x="230"/>
        <item x="95"/>
        <item x="178"/>
        <item x="128"/>
        <item x="219"/>
        <item x="109"/>
        <item x="26"/>
        <item x="265"/>
        <item x="282"/>
        <item x="344"/>
        <item x="123"/>
        <item x="179"/>
        <item x="69"/>
        <item x="64"/>
        <item x="299"/>
        <item x="440"/>
        <item x="310"/>
        <item x="420"/>
        <item x="275"/>
        <item x="355"/>
        <item x="105"/>
        <item x="61"/>
        <item x="92"/>
        <item x="231"/>
        <item x="115"/>
        <item x="399"/>
        <item x="117"/>
        <item x="303"/>
        <item x="428"/>
        <item x="12"/>
        <item x="158"/>
        <item x="20"/>
        <item x="232"/>
        <item x="333"/>
        <item x="130"/>
        <item x="156"/>
        <item x="23"/>
        <item x="349"/>
        <item x="216"/>
        <item x="31"/>
        <item x="257"/>
        <item x="348"/>
        <item x="419"/>
        <item x="203"/>
        <item x="247"/>
        <item x="252"/>
        <item x="321"/>
        <item x="149"/>
        <item x="51"/>
        <item x="316"/>
        <item x="302"/>
        <item x="118"/>
        <item x="14"/>
        <item x="342"/>
        <item x="204"/>
        <item x="50"/>
        <item x="467"/>
        <item x="102"/>
        <item x="448"/>
        <item x="346"/>
        <item x="438"/>
        <item x="36"/>
        <item x="58"/>
        <item x="28"/>
        <item x="89"/>
        <item x="241"/>
        <item x="313"/>
        <item x="288"/>
        <item x="88"/>
        <item x="441"/>
        <item x="233"/>
        <item x="394"/>
        <item x="437"/>
        <item x="365"/>
        <item x="202"/>
        <item x="79"/>
        <item x="253"/>
        <item x="65"/>
        <item x="155"/>
        <item x="187"/>
        <item x="325"/>
        <item x="272"/>
        <item x="145"/>
        <item x="314"/>
        <item x="266"/>
        <item x="444"/>
        <item x="150"/>
        <item x="239"/>
        <item x="236"/>
        <item x="427"/>
        <item x="286"/>
        <item x="30"/>
        <item x="319"/>
        <item x="367"/>
        <item x="181"/>
        <item x="99"/>
        <item x="225"/>
        <item x="78"/>
        <item x="397"/>
        <item x="229"/>
        <item x="148"/>
        <item x="413"/>
        <item x="352"/>
        <item x="256"/>
        <item x="94"/>
        <item x="258"/>
        <item x="124"/>
        <item x="412"/>
        <item x="308"/>
        <item x="385"/>
        <item x="224"/>
        <item x="163"/>
        <item x="447"/>
        <item x="172"/>
        <item x="19"/>
        <item x="387"/>
        <item x="183"/>
        <item x="197"/>
        <item x="73"/>
        <item x="34"/>
        <item x="246"/>
        <item x="329"/>
        <item x="57"/>
        <item x="295"/>
        <item x="276"/>
        <item x="315"/>
        <item x="151"/>
        <item x="90"/>
        <item x="383"/>
        <item x="243"/>
        <item x="468"/>
        <item x="434"/>
        <item x="143"/>
        <item x="379"/>
        <item x="17"/>
        <item x="304"/>
        <item x="384"/>
        <item x="81"/>
        <item x="175"/>
        <item x="322"/>
        <item x="106"/>
        <item x="351"/>
        <item x="366"/>
        <item x="390"/>
        <item x="82"/>
        <item x="289"/>
        <item x="424"/>
        <item x="457"/>
        <item x="452"/>
        <item x="429"/>
        <item x="71"/>
        <item x="97"/>
        <item x="461"/>
        <item x="182"/>
        <item x="300"/>
        <item x="39"/>
        <item x="269"/>
        <item x="358"/>
        <item x="125"/>
        <item x="294"/>
        <item x="417"/>
        <item x="262"/>
        <item x="306"/>
        <item x="353"/>
        <item x="191"/>
        <item x="375"/>
        <item x="442"/>
        <item x="120"/>
        <item x="108"/>
        <item x="334"/>
        <item x="126"/>
        <item x="168"/>
        <item x="259"/>
        <item x="264"/>
        <item x="326"/>
        <item x="8"/>
        <item x="463"/>
        <item x="48"/>
        <item x="465"/>
        <item x="121"/>
        <item x="47"/>
        <item x="433"/>
        <item x="460"/>
        <item x="72"/>
        <item x="454"/>
        <item x="173"/>
        <item x="354"/>
        <item x="138"/>
        <item x="347"/>
        <item x="292"/>
        <item x="285"/>
        <item x="307"/>
        <item x="280"/>
        <item x="445"/>
        <item x="301"/>
        <item x="297"/>
        <item x="114"/>
        <item t="default"/>
      </items>
    </pivotField>
    <pivotField numFmtId="22"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4B8F0-A07D-409A-A753-AD7BC58D21A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2:D14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 ID" fld="2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Doctor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29EE7D-C608-4763-BBDD-983C96ACC2BD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Total_Patients" tableColumnId="2"/>
      <queryTableField id="3" name="Unique_Doctors" tableColumnId="3"/>
      <queryTableField id="4" name="Doctor_Patient_Rati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99361F-3B20-4EB0-9915-49A343E570AD}" name="Table1__2" displayName="Table1__2" ref="A1:D7" tableType="queryTable" totalsRowShown="0">
  <autoFilter ref="A1:D7" xr:uid="{5399361F-3B20-4EB0-9915-49A343E570AD}"/>
  <tableColumns count="4">
    <tableColumn id="1" xr3:uid="{4F168BED-BC0F-4701-921C-8FD1296F0782}" uniqueName="1" name="Department" queryTableFieldId="1"/>
    <tableColumn id="2" xr3:uid="{EDAA28E7-A336-489D-9BA1-27EF2DAE7781}" uniqueName="2" name="Total_Patients" queryTableFieldId="2"/>
    <tableColumn id="3" xr3:uid="{9312C46E-1BA9-4736-92C8-C76AE1C74C7F}" uniqueName="3" name="Unique_Doctors" queryTableFieldId="3"/>
    <tableColumn id="4" xr3:uid="{A84AFC1B-174E-4F94-B1AF-35CB1D84D083}" uniqueName="4" name="Doctor_Patient_Ratio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09F85-B4BA-4AD2-91E3-051C93854415}" name="Table1" displayName="Table1" ref="A1:W1001" totalsRowShown="0" headerRowDxfId="8">
  <autoFilter ref="A1:W1001" xr:uid="{1A809F85-B4BA-4AD2-91E3-051C93854415}"/>
  <tableColumns count="23">
    <tableColumn id="1" xr3:uid="{1CB2C6BB-1D5B-4032-8FCA-1F1D883246BA}" name="Patient ID"/>
    <tableColumn id="2" xr3:uid="{66832B50-B641-4C96-B917-254187B0B47A}" name="Age"/>
    <tableColumn id="3" xr3:uid="{34C85D1C-9C30-4711-B95C-B4B50C8E1475}" name="Department"/>
    <tableColumn id="4" xr3:uid="{E40A62F6-C545-46FE-995C-E98E39681EC8}" name="Admission Date" dataDxfId="7"/>
    <tableColumn id="5" xr3:uid="{9F1AD5B4-1BD2-4A48-90D8-5976AF53E709}" name="Discharge Date" dataDxfId="6"/>
    <tableColumn id="6" xr3:uid="{A0AEE89E-9B3E-46DC-9A01-3BAE2138955C}" name="Stay Duration (days)"/>
    <tableColumn id="7" xr3:uid="{7F767A39-0DB0-43F0-AF7F-2D4CB1F10D5B}" name="Disease/Condition"/>
    <tableColumn id="8" xr3:uid="{0308C487-5CB5-427E-B9CA-96559DDE4E6D}" name="Satisfaction Score"/>
    <tableColumn id="9" xr3:uid="{D8025037-CFAE-4281-A78A-E34C66FA89EE}" name="Doctor"/>
    <tableColumn id="10" xr3:uid="{6D039010-83B9-420F-9C19-5F4BF10BFC91}" name="Treatment Cost"/>
    <tableColumn id="11" xr3:uid="{3133CB62-2C1D-4DE1-8F1D-A2867FADEE13}" name="Medication"/>
    <tableColumn id="12" xr3:uid="{4F532467-198D-4329-8ED7-6CF1843BA36F}" name="Has Insurance"/>
    <tableColumn id="13" xr3:uid="{2E32E826-2BD0-4B87-B786-FE892F9155E9}" name="Case Type"/>
    <tableColumn id="14" xr3:uid="{F1B5FA52-4124-4F7D-AB24-AA988ACE1B81}" name="Appointment Date" dataDxfId="5"/>
    <tableColumn id="15" xr3:uid="{30B110F1-3C44-4404-89ED-1406ADD7DDBC}" name="Consultation Date" dataDxfId="4"/>
    <tableColumn id="16" xr3:uid="{37276256-E6B8-454F-B28F-0CDC952D5C53}" name="Test Type"/>
    <tableColumn id="17" xr3:uid="{6CFF7427-0B4D-45D1-9D74-1865401395D2}" name="Test Result"/>
    <tableColumn id="18" xr3:uid="{221F74BB-6CC5-4ABD-BD6C-11A27B9E7BDB}" name="Shift"/>
    <tableColumn id="19" xr3:uid="{E638CB38-C762-4234-8670-3E8766DA8F7A}" name="Staff Hours Worked"/>
    <tableColumn id="20" xr3:uid="{1534763A-F14E-4590-A9CA-248C0E6692D6}" name="Staff Available Hours"/>
    <tableColumn id="21" xr3:uid="{FC5A580A-CF25-4993-804C-B209042613EF}" name="Treatment Plan"/>
    <tableColumn id="22" xr3:uid="{15CDABA4-2F70-4A44-B55E-ADDD5ACD884C}" name="Month-year " dataDxfId="3">
      <calculatedColumnFormula>TEXT(D2,"mmm-yyyy")</calculatedColumnFormula>
    </tableColumn>
    <tableColumn id="23" xr3:uid="{4A599D1E-4763-4E64-B504-A875CE75C8F1}" name="Time" dataDxfId="2">
      <calculatedColumnFormula>Table1[[#This Row],[Consultation Date]] - Table1[[#This Row],[Appointment Date]]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99F69-54DE-4699-B502-D2386CD88F27}" name="Table2" displayName="Table2" ref="Z3:Z13" totalsRowShown="0">
  <autoFilter ref="Z3:Z13" xr:uid="{2EF99F69-54DE-4699-B502-D2386CD88F27}"/>
  <tableColumns count="1">
    <tableColumn id="1" xr3:uid="{19CC0BB2-3713-4CBB-9417-D71D8BA44041}" name="age 0-18 average hospital st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2EC9-ABFF-4A5C-9728-572C1057B17E}">
  <dimension ref="A1:D7"/>
  <sheetViews>
    <sheetView workbookViewId="0"/>
  </sheetViews>
  <sheetFormatPr defaultRowHeight="14.4" x14ac:dyDescent="0.3"/>
  <cols>
    <col min="1" max="1" width="15.21875" bestFit="1" customWidth="1"/>
    <col min="2" max="2" width="15" bestFit="1" customWidth="1"/>
    <col min="3" max="3" width="16.44140625" bestFit="1" customWidth="1"/>
    <col min="4" max="4" width="20.88671875" bestFit="1" customWidth="1"/>
  </cols>
  <sheetData>
    <row r="1" spans="1:4" x14ac:dyDescent="0.3">
      <c r="A1" t="s">
        <v>2</v>
      </c>
      <c r="B1" t="s">
        <v>1114</v>
      </c>
      <c r="C1" t="s">
        <v>1115</v>
      </c>
      <c r="D1" t="s">
        <v>1116</v>
      </c>
    </row>
    <row r="2" spans="1:4" x14ac:dyDescent="0.3">
      <c r="A2" t="s">
        <v>22</v>
      </c>
      <c r="B2">
        <v>173</v>
      </c>
      <c r="C2">
        <v>5</v>
      </c>
      <c r="D2">
        <v>34.6</v>
      </c>
    </row>
    <row r="3" spans="1:4" x14ac:dyDescent="0.3">
      <c r="A3" t="s">
        <v>33</v>
      </c>
      <c r="B3">
        <v>179</v>
      </c>
      <c r="C3">
        <v>5</v>
      </c>
      <c r="D3">
        <v>35.799999999999997</v>
      </c>
    </row>
    <row r="4" spans="1:4" x14ac:dyDescent="0.3">
      <c r="A4" t="s">
        <v>45</v>
      </c>
      <c r="B4">
        <v>181</v>
      </c>
      <c r="C4">
        <v>5</v>
      </c>
      <c r="D4">
        <v>36.200000000000003</v>
      </c>
    </row>
    <row r="5" spans="1:4" x14ac:dyDescent="0.3">
      <c r="A5" t="s">
        <v>41</v>
      </c>
      <c r="B5">
        <v>166</v>
      </c>
      <c r="C5">
        <v>5</v>
      </c>
      <c r="D5">
        <v>33.200000000000003</v>
      </c>
    </row>
    <row r="6" spans="1:4" x14ac:dyDescent="0.3">
      <c r="A6" t="s">
        <v>52</v>
      </c>
      <c r="B6">
        <v>165</v>
      </c>
      <c r="C6">
        <v>5</v>
      </c>
      <c r="D6">
        <v>33</v>
      </c>
    </row>
    <row r="7" spans="1:4" x14ac:dyDescent="0.3">
      <c r="A7" t="s">
        <v>62</v>
      </c>
      <c r="B7">
        <v>136</v>
      </c>
      <c r="C7">
        <v>5</v>
      </c>
      <c r="D7">
        <v>27.2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9046-3D2E-4A9A-A57A-77203251F62E}">
  <dimension ref="A1:Z1001"/>
  <sheetViews>
    <sheetView topLeftCell="G2" zoomScaleNormal="100" workbookViewId="0">
      <selection activeCell="J12" sqref="J12"/>
    </sheetView>
  </sheetViews>
  <sheetFormatPr defaultRowHeight="14.4" x14ac:dyDescent="0.3"/>
  <cols>
    <col min="1" max="1" width="11" customWidth="1"/>
    <col min="2" max="2" width="5.88671875" customWidth="1"/>
    <col min="3" max="3" width="16.44140625" bestFit="1" customWidth="1"/>
    <col min="4" max="4" width="15.88671875" customWidth="1"/>
    <col min="5" max="5" width="15.33203125" customWidth="1"/>
    <col min="6" max="6" width="19.5546875" customWidth="1"/>
    <col min="7" max="7" width="18.33203125" bestFit="1" customWidth="1"/>
    <col min="8" max="8" width="18" customWidth="1"/>
    <col min="9" max="9" width="10.88671875" bestFit="1" customWidth="1"/>
    <col min="10" max="10" width="15.5546875" customWidth="1"/>
    <col min="11" max="11" width="12.21875" customWidth="1"/>
    <col min="12" max="12" width="14.5546875" customWidth="1"/>
    <col min="13" max="13" width="11.21875" customWidth="1"/>
    <col min="14" max="14" width="18" customWidth="1"/>
    <col min="15" max="15" width="17.6640625" bestFit="1" customWidth="1"/>
    <col min="16" max="16" width="10.88671875" bestFit="1" customWidth="1"/>
    <col min="17" max="17" width="11.88671875" customWidth="1"/>
    <col min="18" max="18" width="9.5546875" bestFit="1" customWidth="1"/>
    <col min="19" max="19" width="18.88671875" bestFit="1" customWidth="1"/>
    <col min="20" max="20" width="20.109375" customWidth="1"/>
    <col min="21" max="21" width="15.44140625" customWidth="1"/>
    <col min="23" max="23" width="11" bestFit="1" customWidth="1"/>
    <col min="24" max="24" width="28.21875" bestFit="1" customWidth="1"/>
    <col min="25" max="25" width="13.109375" customWidth="1"/>
    <col min="26" max="26" width="21.8867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1063</v>
      </c>
      <c r="W1" s="6" t="s">
        <v>1120</v>
      </c>
    </row>
    <row r="2" spans="1:26" x14ac:dyDescent="0.3">
      <c r="A2" t="s">
        <v>21</v>
      </c>
      <c r="B2">
        <v>52</v>
      </c>
      <c r="C2" t="s">
        <v>22</v>
      </c>
      <c r="D2" s="2">
        <v>45041</v>
      </c>
      <c r="E2" s="2">
        <v>45082</v>
      </c>
      <c r="F2">
        <v>11</v>
      </c>
      <c r="G2" t="s">
        <v>23</v>
      </c>
      <c r="H2">
        <v>3</v>
      </c>
      <c r="I2" t="s">
        <v>24</v>
      </c>
      <c r="J2">
        <v>40901</v>
      </c>
      <c r="K2" t="s">
        <v>25</v>
      </c>
      <c r="L2" t="s">
        <v>26</v>
      </c>
      <c r="M2" t="s">
        <v>27</v>
      </c>
      <c r="N2" s="2">
        <v>45038</v>
      </c>
      <c r="O2" s="2">
        <v>45038.5</v>
      </c>
      <c r="P2" t="s">
        <v>28</v>
      </c>
      <c r="Q2" t="s">
        <v>29</v>
      </c>
      <c r="R2" t="s">
        <v>30</v>
      </c>
      <c r="S2">
        <v>9</v>
      </c>
      <c r="T2">
        <v>12</v>
      </c>
      <c r="U2" t="s">
        <v>31</v>
      </c>
      <c r="V2" t="str">
        <f t="shared" ref="V2:V65" si="0">TEXT(D2,"mmm-yyyy")</f>
        <v>Apr-2023</v>
      </c>
      <c r="W2" s="16">
        <f>Table1[[#This Row],[Consultation Date]] - Table1[[#This Row],[Appointment Date]]</f>
        <v>0.5</v>
      </c>
      <c r="Z2" t="s">
        <v>1067</v>
      </c>
    </row>
    <row r="3" spans="1:26" x14ac:dyDescent="0.3">
      <c r="A3" t="s">
        <v>32</v>
      </c>
      <c r="B3">
        <v>15</v>
      </c>
      <c r="C3" t="s">
        <v>33</v>
      </c>
      <c r="D3" s="2">
        <v>44952</v>
      </c>
      <c r="E3" s="2">
        <v>44959</v>
      </c>
      <c r="F3">
        <v>7</v>
      </c>
      <c r="G3" t="s">
        <v>34</v>
      </c>
      <c r="H3">
        <v>2</v>
      </c>
      <c r="I3" t="s">
        <v>35</v>
      </c>
      <c r="J3">
        <v>49380</v>
      </c>
      <c r="K3" t="s">
        <v>36</v>
      </c>
      <c r="L3" t="s">
        <v>26</v>
      </c>
      <c r="M3" t="s">
        <v>27</v>
      </c>
      <c r="N3" s="2">
        <v>44948</v>
      </c>
      <c r="O3" s="2">
        <v>44948.875</v>
      </c>
      <c r="P3" t="s">
        <v>37</v>
      </c>
      <c r="Q3" t="s">
        <v>38</v>
      </c>
      <c r="R3" t="s">
        <v>30</v>
      </c>
      <c r="S3">
        <v>9</v>
      </c>
      <c r="T3">
        <v>10</v>
      </c>
      <c r="U3" t="s">
        <v>31</v>
      </c>
      <c r="V3" t="str">
        <f t="shared" si="0"/>
        <v>Jan-2023</v>
      </c>
      <c r="W3" s="16">
        <f>Table1[[#This Row],[Consultation Date]] - Table1[[#This Row],[Appointment Date]]</f>
        <v>0.875</v>
      </c>
      <c r="Z3" t="s">
        <v>1059</v>
      </c>
    </row>
    <row r="4" spans="1:26" x14ac:dyDescent="0.3">
      <c r="A4" t="s">
        <v>39</v>
      </c>
      <c r="B4">
        <v>72</v>
      </c>
      <c r="C4" t="s">
        <v>22</v>
      </c>
      <c r="D4" s="2">
        <v>45179</v>
      </c>
      <c r="E4" s="2">
        <v>45240</v>
      </c>
      <c r="F4">
        <v>2</v>
      </c>
      <c r="G4" t="s">
        <v>40</v>
      </c>
      <c r="H4">
        <v>5</v>
      </c>
      <c r="I4" t="s">
        <v>24</v>
      </c>
      <c r="J4">
        <v>25493</v>
      </c>
      <c r="K4" t="s">
        <v>25</v>
      </c>
      <c r="L4" t="s">
        <v>26</v>
      </c>
      <c r="M4" t="s">
        <v>41</v>
      </c>
      <c r="N4" s="2">
        <v>45179</v>
      </c>
      <c r="O4" s="2">
        <v>45179.083333333336</v>
      </c>
      <c r="P4" t="s">
        <v>42</v>
      </c>
      <c r="Q4" t="s">
        <v>38</v>
      </c>
      <c r="R4" t="s">
        <v>43</v>
      </c>
      <c r="S4">
        <v>10</v>
      </c>
      <c r="T4">
        <v>10</v>
      </c>
      <c r="U4" t="s">
        <v>31</v>
      </c>
      <c r="V4" t="str">
        <f t="shared" si="0"/>
        <v>Sep-2023</v>
      </c>
      <c r="W4" s="16">
        <f>Table1[[#This Row],[Consultation Date]] - Table1[[#This Row],[Appointment Date]]</f>
        <v>8.3333333335758653E-2</v>
      </c>
      <c r="Z4">
        <f>AVERAGEIFS(F:F, B:B, "&lt;=18")</f>
        <v>7.7422222222222219</v>
      </c>
    </row>
    <row r="5" spans="1:26" x14ac:dyDescent="0.3">
      <c r="A5" t="s">
        <v>44</v>
      </c>
      <c r="B5">
        <v>61</v>
      </c>
      <c r="C5" t="s">
        <v>45</v>
      </c>
      <c r="D5" s="2">
        <v>45147</v>
      </c>
      <c r="E5" s="2">
        <v>45239</v>
      </c>
      <c r="F5">
        <v>3</v>
      </c>
      <c r="G5" t="s">
        <v>34</v>
      </c>
      <c r="H5">
        <v>3</v>
      </c>
      <c r="I5" t="s">
        <v>46</v>
      </c>
      <c r="J5">
        <v>23595</v>
      </c>
      <c r="K5" t="s">
        <v>25</v>
      </c>
      <c r="L5" t="s">
        <v>26</v>
      </c>
      <c r="M5" t="s">
        <v>27</v>
      </c>
      <c r="N5" s="2">
        <v>45025</v>
      </c>
      <c r="O5" s="2">
        <v>45025.583333333336</v>
      </c>
      <c r="P5" t="s">
        <v>42</v>
      </c>
      <c r="Q5" t="s">
        <v>29</v>
      </c>
      <c r="R5" t="s">
        <v>47</v>
      </c>
      <c r="S5">
        <v>7</v>
      </c>
      <c r="T5">
        <v>12</v>
      </c>
      <c r="U5" t="s">
        <v>48</v>
      </c>
      <c r="V5" t="str">
        <f t="shared" si="0"/>
        <v>Aug-2023</v>
      </c>
      <c r="W5" s="16">
        <f>Table1[[#This Row],[Consultation Date]] - Table1[[#This Row],[Appointment Date]]</f>
        <v>0.58333333333575865</v>
      </c>
    </row>
    <row r="6" spans="1:26" x14ac:dyDescent="0.3">
      <c r="A6" t="s">
        <v>49</v>
      </c>
      <c r="B6">
        <v>21</v>
      </c>
      <c r="C6" t="s">
        <v>41</v>
      </c>
      <c r="D6" s="2">
        <v>45155</v>
      </c>
      <c r="E6" s="2">
        <v>45156</v>
      </c>
      <c r="F6">
        <v>1</v>
      </c>
      <c r="G6" t="s">
        <v>50</v>
      </c>
      <c r="H6">
        <v>1</v>
      </c>
      <c r="I6" t="s">
        <v>46</v>
      </c>
      <c r="J6">
        <v>26923</v>
      </c>
      <c r="K6" t="s">
        <v>36</v>
      </c>
      <c r="L6" t="s">
        <v>26</v>
      </c>
      <c r="M6" t="s">
        <v>41</v>
      </c>
      <c r="N6" s="2">
        <v>45154</v>
      </c>
      <c r="O6" s="2">
        <v>45155.583333333336</v>
      </c>
      <c r="P6" t="s">
        <v>42</v>
      </c>
      <c r="Q6" t="s">
        <v>29</v>
      </c>
      <c r="R6" t="s">
        <v>47</v>
      </c>
      <c r="S6">
        <v>5</v>
      </c>
      <c r="T6">
        <v>10</v>
      </c>
      <c r="U6" t="s">
        <v>31</v>
      </c>
      <c r="V6" t="str">
        <f t="shared" si="0"/>
        <v>Aug-2023</v>
      </c>
      <c r="W6" s="16">
        <f>Table1[[#This Row],[Consultation Date]] - Table1[[#This Row],[Appointment Date]]</f>
        <v>1.5833333333357587</v>
      </c>
      <c r="Z6" t="s">
        <v>1060</v>
      </c>
    </row>
    <row r="7" spans="1:26" x14ac:dyDescent="0.3">
      <c r="A7" t="s">
        <v>51</v>
      </c>
      <c r="B7">
        <v>83</v>
      </c>
      <c r="C7" t="s">
        <v>52</v>
      </c>
      <c r="D7" s="2">
        <v>45069</v>
      </c>
      <c r="E7" s="2">
        <v>45070</v>
      </c>
      <c r="F7">
        <v>1</v>
      </c>
      <c r="G7" t="s">
        <v>50</v>
      </c>
      <c r="H7">
        <v>3</v>
      </c>
      <c r="I7" t="s">
        <v>24</v>
      </c>
      <c r="J7">
        <v>14735</v>
      </c>
      <c r="K7" t="s">
        <v>53</v>
      </c>
      <c r="L7" t="s">
        <v>54</v>
      </c>
      <c r="M7" t="s">
        <v>27</v>
      </c>
      <c r="N7" s="2">
        <v>45064</v>
      </c>
      <c r="O7" s="2">
        <v>45064.416666666664</v>
      </c>
      <c r="P7" t="s">
        <v>55</v>
      </c>
      <c r="Q7" t="s">
        <v>38</v>
      </c>
      <c r="R7" t="s">
        <v>43</v>
      </c>
      <c r="S7">
        <v>9</v>
      </c>
      <c r="T7">
        <v>12</v>
      </c>
      <c r="U7" t="s">
        <v>48</v>
      </c>
      <c r="V7" t="str">
        <f t="shared" si="0"/>
        <v>May-2023</v>
      </c>
      <c r="W7" s="16">
        <f>Table1[[#This Row],[Consultation Date]] - Table1[[#This Row],[Appointment Date]]</f>
        <v>0.41666666666424135</v>
      </c>
      <c r="Z7">
        <f>AVERAGEIFS(F:F, B:B, "&gt;=19", B:B, "&lt;=35")</f>
        <v>7.7295918367346941</v>
      </c>
    </row>
    <row r="8" spans="1:26" x14ac:dyDescent="0.3">
      <c r="A8" t="s">
        <v>56</v>
      </c>
      <c r="B8">
        <v>87</v>
      </c>
      <c r="C8" t="s">
        <v>52</v>
      </c>
      <c r="D8" s="2">
        <v>45031</v>
      </c>
      <c r="E8" s="2">
        <v>45036</v>
      </c>
      <c r="F8">
        <v>5</v>
      </c>
      <c r="G8" t="s">
        <v>57</v>
      </c>
      <c r="H8">
        <v>1</v>
      </c>
      <c r="I8" t="s">
        <v>35</v>
      </c>
      <c r="J8">
        <v>39457</v>
      </c>
      <c r="K8" t="s">
        <v>25</v>
      </c>
      <c r="L8" t="s">
        <v>54</v>
      </c>
      <c r="M8" t="s">
        <v>41</v>
      </c>
      <c r="N8" s="2">
        <v>45264</v>
      </c>
      <c r="O8" s="2">
        <v>45029.916666666664</v>
      </c>
      <c r="P8" t="s">
        <v>28</v>
      </c>
      <c r="Q8" t="s">
        <v>29</v>
      </c>
      <c r="R8" t="s">
        <v>30</v>
      </c>
      <c r="S8">
        <v>10</v>
      </c>
      <c r="T8">
        <v>8</v>
      </c>
      <c r="U8" t="s">
        <v>31</v>
      </c>
      <c r="V8" t="str">
        <f t="shared" si="0"/>
        <v>Apr-2023</v>
      </c>
      <c r="W8" s="16">
        <f>Table1[[#This Row],[Consultation Date]] - Table1[[#This Row],[Appointment Date]]</f>
        <v>-234.08333333333576</v>
      </c>
    </row>
    <row r="9" spans="1:26" x14ac:dyDescent="0.3">
      <c r="A9" t="s">
        <v>58</v>
      </c>
      <c r="B9">
        <v>75</v>
      </c>
      <c r="C9" t="s">
        <v>33</v>
      </c>
      <c r="D9" s="2">
        <v>45016</v>
      </c>
      <c r="E9" s="2">
        <v>45142</v>
      </c>
      <c r="F9">
        <v>8</v>
      </c>
      <c r="G9" t="s">
        <v>50</v>
      </c>
      <c r="H9">
        <v>5</v>
      </c>
      <c r="I9" t="s">
        <v>24</v>
      </c>
      <c r="J9">
        <v>47531</v>
      </c>
      <c r="K9" t="s">
        <v>25</v>
      </c>
      <c r="L9" t="s">
        <v>54</v>
      </c>
      <c r="M9" t="s">
        <v>41</v>
      </c>
      <c r="N9" s="2">
        <v>45014</v>
      </c>
      <c r="O9" s="2">
        <v>45015.083333333336</v>
      </c>
      <c r="P9" t="s">
        <v>55</v>
      </c>
      <c r="Q9" t="s">
        <v>29</v>
      </c>
      <c r="R9" t="s">
        <v>30</v>
      </c>
      <c r="S9">
        <v>4</v>
      </c>
      <c r="T9">
        <v>8</v>
      </c>
      <c r="U9" t="s">
        <v>48</v>
      </c>
      <c r="V9" t="str">
        <f t="shared" si="0"/>
        <v>Mar-2023</v>
      </c>
      <c r="W9" s="16">
        <f>Table1[[#This Row],[Consultation Date]] - Table1[[#This Row],[Appointment Date]]</f>
        <v>1.0833333333357587</v>
      </c>
      <c r="Z9" t="s">
        <v>1061</v>
      </c>
    </row>
    <row r="10" spans="1:26" x14ac:dyDescent="0.3">
      <c r="A10" t="s">
        <v>59</v>
      </c>
      <c r="B10">
        <v>75</v>
      </c>
      <c r="C10" t="s">
        <v>45</v>
      </c>
      <c r="D10" s="2">
        <v>45507</v>
      </c>
      <c r="E10" s="2">
        <v>45568</v>
      </c>
      <c r="F10">
        <v>2</v>
      </c>
      <c r="G10" t="s">
        <v>34</v>
      </c>
      <c r="H10">
        <v>5</v>
      </c>
      <c r="I10" t="s">
        <v>24</v>
      </c>
      <c r="J10">
        <v>12727</v>
      </c>
      <c r="K10" t="s">
        <v>60</v>
      </c>
      <c r="L10" t="s">
        <v>54</v>
      </c>
      <c r="M10" t="s">
        <v>27</v>
      </c>
      <c r="N10" s="2">
        <v>45446</v>
      </c>
      <c r="O10" s="2">
        <v>45446.208333333336</v>
      </c>
      <c r="P10" t="s">
        <v>55</v>
      </c>
      <c r="Q10" t="s">
        <v>29</v>
      </c>
      <c r="R10" t="s">
        <v>47</v>
      </c>
      <c r="S10">
        <v>9</v>
      </c>
      <c r="T10">
        <v>12</v>
      </c>
      <c r="U10" t="s">
        <v>48</v>
      </c>
      <c r="V10" t="str">
        <f t="shared" si="0"/>
        <v>Aug-2024</v>
      </c>
      <c r="W10" s="16">
        <f>Table1[[#This Row],[Consultation Date]] - Table1[[#This Row],[Appointment Date]]</f>
        <v>0.20833333333575865</v>
      </c>
      <c r="Z10">
        <f>AVERAGEIFS(F:F, B:B, "&gt;=36", B:B, "&lt;=60")</f>
        <v>7.7472527472527473</v>
      </c>
    </row>
    <row r="11" spans="1:26" x14ac:dyDescent="0.3">
      <c r="A11" t="s">
        <v>61</v>
      </c>
      <c r="B11">
        <v>88</v>
      </c>
      <c r="C11" t="s">
        <v>62</v>
      </c>
      <c r="D11" s="2">
        <v>44959</v>
      </c>
      <c r="E11" s="2">
        <v>45018</v>
      </c>
      <c r="F11">
        <v>2</v>
      </c>
      <c r="G11" t="s">
        <v>63</v>
      </c>
      <c r="H11">
        <v>4</v>
      </c>
      <c r="I11" t="s">
        <v>24</v>
      </c>
      <c r="J11">
        <v>12764</v>
      </c>
      <c r="K11" t="s">
        <v>36</v>
      </c>
      <c r="L11" t="s">
        <v>54</v>
      </c>
      <c r="M11" t="s">
        <v>27</v>
      </c>
      <c r="N11" s="2">
        <v>44956</v>
      </c>
      <c r="O11" s="2">
        <v>44956.833333333336</v>
      </c>
      <c r="P11" t="s">
        <v>64</v>
      </c>
      <c r="Q11" t="s">
        <v>29</v>
      </c>
      <c r="R11" t="s">
        <v>47</v>
      </c>
      <c r="S11">
        <v>6</v>
      </c>
      <c r="T11">
        <v>8</v>
      </c>
      <c r="U11" t="s">
        <v>48</v>
      </c>
      <c r="V11" t="str">
        <f t="shared" si="0"/>
        <v>Feb-2023</v>
      </c>
      <c r="W11" s="16">
        <f>Table1[[#This Row],[Consultation Date]] - Table1[[#This Row],[Appointment Date]]</f>
        <v>0.83333333333575865</v>
      </c>
    </row>
    <row r="12" spans="1:26" x14ac:dyDescent="0.3">
      <c r="A12" t="s">
        <v>65</v>
      </c>
      <c r="B12">
        <v>24</v>
      </c>
      <c r="C12" t="s">
        <v>45</v>
      </c>
      <c r="D12" s="2">
        <v>44957</v>
      </c>
      <c r="E12" s="2">
        <v>45018</v>
      </c>
      <c r="F12">
        <v>4</v>
      </c>
      <c r="G12" t="s">
        <v>63</v>
      </c>
      <c r="H12">
        <v>4</v>
      </c>
      <c r="I12" t="s">
        <v>66</v>
      </c>
      <c r="J12">
        <v>32599</v>
      </c>
      <c r="K12" t="s">
        <v>67</v>
      </c>
      <c r="L12" t="s">
        <v>26</v>
      </c>
      <c r="M12" t="s">
        <v>27</v>
      </c>
      <c r="N12" s="2">
        <v>44957</v>
      </c>
      <c r="O12" s="2">
        <v>44957.458333333336</v>
      </c>
      <c r="P12" t="s">
        <v>28</v>
      </c>
      <c r="Q12" t="s">
        <v>29</v>
      </c>
      <c r="R12" t="s">
        <v>47</v>
      </c>
      <c r="S12">
        <v>6</v>
      </c>
      <c r="T12">
        <v>10</v>
      </c>
      <c r="U12" t="s">
        <v>68</v>
      </c>
      <c r="V12" t="str">
        <f t="shared" si="0"/>
        <v>Jan-2023</v>
      </c>
      <c r="W12" s="16">
        <f>Table1[[#This Row],[Consultation Date]] - Table1[[#This Row],[Appointment Date]]</f>
        <v>0.45833333333575865</v>
      </c>
      <c r="Z12" t="s">
        <v>1062</v>
      </c>
    </row>
    <row r="13" spans="1:26" x14ac:dyDescent="0.3">
      <c r="A13" t="s">
        <v>69</v>
      </c>
      <c r="B13">
        <v>3</v>
      </c>
      <c r="C13" t="s">
        <v>52</v>
      </c>
      <c r="D13" s="2">
        <v>45081</v>
      </c>
      <c r="E13" s="2">
        <v>45037</v>
      </c>
      <c r="F13">
        <v>15</v>
      </c>
      <c r="G13" t="s">
        <v>57</v>
      </c>
      <c r="H13">
        <v>4</v>
      </c>
      <c r="I13" t="s">
        <v>46</v>
      </c>
      <c r="J13">
        <v>5818</v>
      </c>
      <c r="K13" t="s">
        <v>53</v>
      </c>
      <c r="L13" t="s">
        <v>26</v>
      </c>
      <c r="M13" t="s">
        <v>41</v>
      </c>
      <c r="N13" s="2">
        <v>44961</v>
      </c>
      <c r="O13" s="2">
        <v>44989.541666666664</v>
      </c>
      <c r="P13" t="s">
        <v>42</v>
      </c>
      <c r="Q13" t="s">
        <v>29</v>
      </c>
      <c r="R13" t="s">
        <v>47</v>
      </c>
      <c r="S13">
        <v>4</v>
      </c>
      <c r="T13">
        <v>8</v>
      </c>
      <c r="U13" t="s">
        <v>31</v>
      </c>
      <c r="V13" t="str">
        <f t="shared" si="0"/>
        <v>Jun-2023</v>
      </c>
      <c r="W13" s="16">
        <f>Table1[[#This Row],[Consultation Date]] - Table1[[#This Row],[Appointment Date]]</f>
        <v>28.541666666664241</v>
      </c>
      <c r="Z13">
        <f>AVERAGEIFS(F:F, B:B, "&gt;=60")</f>
        <v>8.1875</v>
      </c>
    </row>
    <row r="14" spans="1:26" x14ac:dyDescent="0.3">
      <c r="A14" t="s">
        <v>70</v>
      </c>
      <c r="B14">
        <v>22</v>
      </c>
      <c r="C14" t="s">
        <v>52</v>
      </c>
      <c r="D14" s="2">
        <v>45268</v>
      </c>
      <c r="E14" s="2">
        <v>45159</v>
      </c>
      <c r="F14">
        <v>9</v>
      </c>
      <c r="G14" t="s">
        <v>23</v>
      </c>
      <c r="H14">
        <v>5</v>
      </c>
      <c r="I14" t="s">
        <v>71</v>
      </c>
      <c r="J14">
        <v>42289</v>
      </c>
      <c r="K14" t="s">
        <v>53</v>
      </c>
      <c r="L14" t="s">
        <v>54</v>
      </c>
      <c r="M14" t="s">
        <v>27</v>
      </c>
      <c r="N14" s="2">
        <v>45238</v>
      </c>
      <c r="O14" s="2">
        <v>45238.666666666664</v>
      </c>
      <c r="P14" t="s">
        <v>37</v>
      </c>
      <c r="Q14" t="s">
        <v>29</v>
      </c>
      <c r="R14" t="s">
        <v>47</v>
      </c>
      <c r="S14">
        <v>11</v>
      </c>
      <c r="T14">
        <v>8</v>
      </c>
      <c r="U14" t="s">
        <v>68</v>
      </c>
      <c r="V14" t="str">
        <f t="shared" si="0"/>
        <v>Dec-2023</v>
      </c>
      <c r="W14" s="16">
        <f>Table1[[#This Row],[Consultation Date]] - Table1[[#This Row],[Appointment Date]]</f>
        <v>0.66666666666424135</v>
      </c>
    </row>
    <row r="15" spans="1:26" x14ac:dyDescent="0.3">
      <c r="A15" t="s">
        <v>72</v>
      </c>
      <c r="B15">
        <v>53</v>
      </c>
      <c r="C15" t="s">
        <v>41</v>
      </c>
      <c r="D15" s="2">
        <v>45165</v>
      </c>
      <c r="E15" s="2">
        <v>45168</v>
      </c>
      <c r="F15">
        <v>3</v>
      </c>
      <c r="G15" t="s">
        <v>34</v>
      </c>
      <c r="H15">
        <v>2</v>
      </c>
      <c r="I15" t="s">
        <v>71</v>
      </c>
      <c r="J15">
        <v>38892</v>
      </c>
      <c r="K15" t="s">
        <v>36</v>
      </c>
      <c r="L15" t="s">
        <v>54</v>
      </c>
      <c r="M15" t="s">
        <v>27</v>
      </c>
      <c r="N15" s="2">
        <v>45161</v>
      </c>
      <c r="O15" s="2">
        <v>45162.541666666664</v>
      </c>
      <c r="P15" t="s">
        <v>42</v>
      </c>
      <c r="Q15" t="s">
        <v>29</v>
      </c>
      <c r="R15" t="s">
        <v>30</v>
      </c>
      <c r="S15">
        <v>7</v>
      </c>
      <c r="T15">
        <v>12</v>
      </c>
      <c r="U15" t="s">
        <v>31</v>
      </c>
      <c r="V15" t="str">
        <f t="shared" si="0"/>
        <v>Aug-2023</v>
      </c>
      <c r="W15" s="16">
        <f>Table1[[#This Row],[Consultation Date]] - Table1[[#This Row],[Appointment Date]]</f>
        <v>1.5416666666642413</v>
      </c>
    </row>
    <row r="16" spans="1:26" x14ac:dyDescent="0.3">
      <c r="A16" t="s">
        <v>73</v>
      </c>
      <c r="B16">
        <v>2</v>
      </c>
      <c r="C16" t="s">
        <v>45</v>
      </c>
      <c r="D16" s="2">
        <v>45297</v>
      </c>
      <c r="E16" s="2">
        <v>45510</v>
      </c>
      <c r="F16">
        <v>7</v>
      </c>
      <c r="G16" t="s">
        <v>34</v>
      </c>
      <c r="H16">
        <v>5</v>
      </c>
      <c r="I16" t="s">
        <v>66</v>
      </c>
      <c r="J16">
        <v>10660</v>
      </c>
      <c r="K16" t="s">
        <v>60</v>
      </c>
      <c r="L16" t="s">
        <v>26</v>
      </c>
      <c r="M16" t="s">
        <v>27</v>
      </c>
      <c r="N16" s="2">
        <v>45442</v>
      </c>
      <c r="O16" s="2">
        <v>45443.041666666664</v>
      </c>
      <c r="P16" t="s">
        <v>55</v>
      </c>
      <c r="Q16" t="s">
        <v>29</v>
      </c>
      <c r="R16" t="s">
        <v>30</v>
      </c>
      <c r="S16">
        <v>11</v>
      </c>
      <c r="T16">
        <v>10</v>
      </c>
      <c r="U16" t="s">
        <v>31</v>
      </c>
      <c r="V16" t="str">
        <f t="shared" si="0"/>
        <v>Jan-2024</v>
      </c>
      <c r="W16" s="16">
        <f>Table1[[#This Row],[Consultation Date]] - Table1[[#This Row],[Appointment Date]]</f>
        <v>1.0416666666642413</v>
      </c>
    </row>
    <row r="17" spans="1:26" x14ac:dyDescent="0.3">
      <c r="A17" t="s">
        <v>74</v>
      </c>
      <c r="B17">
        <v>88</v>
      </c>
      <c r="C17" t="s">
        <v>45</v>
      </c>
      <c r="D17" s="2">
        <v>44954</v>
      </c>
      <c r="E17" s="2">
        <v>45048</v>
      </c>
      <c r="F17">
        <v>8</v>
      </c>
      <c r="G17" t="s">
        <v>50</v>
      </c>
      <c r="H17">
        <v>3</v>
      </c>
      <c r="I17" t="s">
        <v>24</v>
      </c>
      <c r="J17">
        <v>34521</v>
      </c>
      <c r="K17" t="s">
        <v>60</v>
      </c>
      <c r="L17" t="s">
        <v>54</v>
      </c>
      <c r="M17" t="s">
        <v>41</v>
      </c>
      <c r="N17" s="2">
        <v>44951</v>
      </c>
      <c r="O17" s="2">
        <v>44952.833333333336</v>
      </c>
      <c r="P17" t="s">
        <v>28</v>
      </c>
      <c r="Q17" t="s">
        <v>29</v>
      </c>
      <c r="R17" t="s">
        <v>30</v>
      </c>
      <c r="S17">
        <v>5</v>
      </c>
      <c r="T17">
        <v>8</v>
      </c>
      <c r="U17" t="s">
        <v>68</v>
      </c>
      <c r="V17" t="str">
        <f t="shared" si="0"/>
        <v>Jan-2023</v>
      </c>
      <c r="W17" s="16">
        <f>Table1[[#This Row],[Consultation Date]] - Table1[[#This Row],[Appointment Date]]</f>
        <v>1.8333333333357587</v>
      </c>
    </row>
    <row r="18" spans="1:26" x14ac:dyDescent="0.3">
      <c r="A18" t="s">
        <v>75</v>
      </c>
      <c r="B18">
        <v>30</v>
      </c>
      <c r="C18" t="s">
        <v>52</v>
      </c>
      <c r="D18" s="2">
        <v>45130</v>
      </c>
      <c r="E18" s="2">
        <v>45136</v>
      </c>
      <c r="F18">
        <v>6</v>
      </c>
      <c r="G18" t="s">
        <v>34</v>
      </c>
      <c r="H18">
        <v>5</v>
      </c>
      <c r="I18" t="s">
        <v>66</v>
      </c>
      <c r="J18">
        <v>43409</v>
      </c>
      <c r="K18" t="s">
        <v>36</v>
      </c>
      <c r="L18" t="s">
        <v>26</v>
      </c>
      <c r="M18" t="s">
        <v>27</v>
      </c>
      <c r="N18" s="2">
        <v>45128</v>
      </c>
      <c r="O18" s="2">
        <v>45129.458333333336</v>
      </c>
      <c r="P18" t="s">
        <v>28</v>
      </c>
      <c r="Q18" t="s">
        <v>29</v>
      </c>
      <c r="R18" t="s">
        <v>30</v>
      </c>
      <c r="S18">
        <v>11</v>
      </c>
      <c r="T18">
        <v>8</v>
      </c>
      <c r="U18" t="s">
        <v>48</v>
      </c>
      <c r="V18" t="str">
        <f t="shared" si="0"/>
        <v>Jul-2023</v>
      </c>
      <c r="W18" s="16">
        <f>Table1[[#This Row],[Consultation Date]] - Table1[[#This Row],[Appointment Date]]</f>
        <v>1.4583333333357587</v>
      </c>
    </row>
    <row r="19" spans="1:26" x14ac:dyDescent="0.3">
      <c r="A19" t="s">
        <v>76</v>
      </c>
      <c r="B19">
        <v>38</v>
      </c>
      <c r="C19" t="s">
        <v>62</v>
      </c>
      <c r="D19" s="2">
        <v>45415</v>
      </c>
      <c r="E19" s="2">
        <v>45367</v>
      </c>
      <c r="F19">
        <v>11</v>
      </c>
      <c r="G19" t="s">
        <v>40</v>
      </c>
      <c r="H19">
        <v>5</v>
      </c>
      <c r="I19" t="s">
        <v>66</v>
      </c>
      <c r="J19">
        <v>39470</v>
      </c>
      <c r="K19" t="s">
        <v>60</v>
      </c>
      <c r="L19" t="s">
        <v>54</v>
      </c>
      <c r="M19" t="s">
        <v>41</v>
      </c>
      <c r="N19" s="2">
        <v>45351</v>
      </c>
      <c r="O19" s="2">
        <v>45351.916666666664</v>
      </c>
      <c r="P19" t="s">
        <v>28</v>
      </c>
      <c r="Q19" t="s">
        <v>29</v>
      </c>
      <c r="R19" t="s">
        <v>43</v>
      </c>
      <c r="S19">
        <v>5</v>
      </c>
      <c r="T19">
        <v>12</v>
      </c>
      <c r="U19" t="s">
        <v>31</v>
      </c>
      <c r="V19" t="str">
        <f t="shared" si="0"/>
        <v>May-2024</v>
      </c>
      <c r="W19" s="16">
        <f>Table1[[#This Row],[Consultation Date]] - Table1[[#This Row],[Appointment Date]]</f>
        <v>0.91666666666424135</v>
      </c>
      <c r="Z19" t="s">
        <v>32</v>
      </c>
    </row>
    <row r="20" spans="1:26" x14ac:dyDescent="0.3">
      <c r="A20" t="s">
        <v>77</v>
      </c>
      <c r="B20">
        <v>2</v>
      </c>
      <c r="C20" t="s">
        <v>33</v>
      </c>
      <c r="D20" s="2">
        <v>45152</v>
      </c>
      <c r="E20" s="2">
        <v>45164</v>
      </c>
      <c r="F20">
        <v>12</v>
      </c>
      <c r="G20" t="s">
        <v>23</v>
      </c>
      <c r="H20">
        <v>1</v>
      </c>
      <c r="I20" t="s">
        <v>35</v>
      </c>
      <c r="J20">
        <v>23385</v>
      </c>
      <c r="K20" t="s">
        <v>53</v>
      </c>
      <c r="L20" t="s">
        <v>26</v>
      </c>
      <c r="M20" t="s">
        <v>27</v>
      </c>
      <c r="N20" s="2">
        <v>45268</v>
      </c>
      <c r="O20" s="2">
        <v>45151.041666666664</v>
      </c>
      <c r="P20" t="s">
        <v>64</v>
      </c>
      <c r="Q20" t="s">
        <v>29</v>
      </c>
      <c r="R20" t="s">
        <v>30</v>
      </c>
      <c r="S20">
        <v>9</v>
      </c>
      <c r="T20">
        <v>12</v>
      </c>
      <c r="U20" t="s">
        <v>48</v>
      </c>
      <c r="V20" t="str">
        <f t="shared" si="0"/>
        <v>Aug-2023</v>
      </c>
      <c r="W20" s="16">
        <f>Table1[[#This Row],[Consultation Date]] - Table1[[#This Row],[Appointment Date]]</f>
        <v>-116.95833333333576</v>
      </c>
      <c r="Z20" t="str">
        <f>VLOOKUP(Z19,Table1[#All],7,FALSE)</f>
        <v>Fracture</v>
      </c>
    </row>
    <row r="21" spans="1:26" x14ac:dyDescent="0.3">
      <c r="A21" t="s">
        <v>78</v>
      </c>
      <c r="B21">
        <v>64</v>
      </c>
      <c r="C21" t="s">
        <v>33</v>
      </c>
      <c r="D21" s="2">
        <v>45386</v>
      </c>
      <c r="E21" s="2">
        <v>45398</v>
      </c>
      <c r="F21">
        <v>12</v>
      </c>
      <c r="G21" t="s">
        <v>50</v>
      </c>
      <c r="H21">
        <v>1</v>
      </c>
      <c r="I21" t="s">
        <v>46</v>
      </c>
      <c r="J21">
        <v>28296</v>
      </c>
      <c r="K21" t="s">
        <v>53</v>
      </c>
      <c r="L21" t="s">
        <v>54</v>
      </c>
      <c r="M21" t="s">
        <v>27</v>
      </c>
      <c r="N21" s="2">
        <v>45355</v>
      </c>
      <c r="O21" s="2">
        <v>45416</v>
      </c>
      <c r="P21" t="s">
        <v>42</v>
      </c>
      <c r="Q21" t="s">
        <v>29</v>
      </c>
      <c r="R21" t="s">
        <v>43</v>
      </c>
      <c r="S21">
        <v>6</v>
      </c>
      <c r="T21">
        <v>10</v>
      </c>
      <c r="U21" t="s">
        <v>68</v>
      </c>
      <c r="V21" t="str">
        <f t="shared" si="0"/>
        <v>Apr-2024</v>
      </c>
      <c r="W21" s="16">
        <f>Table1[[#This Row],[Consultation Date]] - Table1[[#This Row],[Appointment Date]]</f>
        <v>61</v>
      </c>
    </row>
    <row r="22" spans="1:26" x14ac:dyDescent="0.3">
      <c r="A22" t="s">
        <v>79</v>
      </c>
      <c r="B22">
        <v>60</v>
      </c>
      <c r="C22" t="s">
        <v>45</v>
      </c>
      <c r="D22" s="2">
        <v>45270</v>
      </c>
      <c r="E22" s="2">
        <v>45220</v>
      </c>
      <c r="F22">
        <v>9</v>
      </c>
      <c r="G22" t="s">
        <v>40</v>
      </c>
      <c r="H22">
        <v>1</v>
      </c>
      <c r="I22" t="s">
        <v>71</v>
      </c>
      <c r="J22">
        <v>28616</v>
      </c>
      <c r="K22" t="s">
        <v>67</v>
      </c>
      <c r="L22" t="s">
        <v>26</v>
      </c>
      <c r="M22" t="s">
        <v>27</v>
      </c>
      <c r="N22" s="2">
        <v>45270</v>
      </c>
      <c r="O22" s="2">
        <v>45270.375</v>
      </c>
      <c r="P22" t="s">
        <v>64</v>
      </c>
      <c r="Q22" t="s">
        <v>29</v>
      </c>
      <c r="R22" t="s">
        <v>30</v>
      </c>
      <c r="S22">
        <v>7</v>
      </c>
      <c r="T22">
        <v>8</v>
      </c>
      <c r="U22" t="s">
        <v>48</v>
      </c>
      <c r="V22" t="str">
        <f t="shared" si="0"/>
        <v>Dec-2023</v>
      </c>
      <c r="W22" s="16">
        <f>Table1[[#This Row],[Consultation Date]] - Table1[[#This Row],[Appointment Date]]</f>
        <v>0.375</v>
      </c>
    </row>
    <row r="23" spans="1:26" x14ac:dyDescent="0.3">
      <c r="A23" t="s">
        <v>80</v>
      </c>
      <c r="B23">
        <v>21</v>
      </c>
      <c r="C23" t="s">
        <v>33</v>
      </c>
      <c r="D23" s="2">
        <v>45108</v>
      </c>
      <c r="E23" s="2">
        <v>44940</v>
      </c>
      <c r="F23">
        <v>7</v>
      </c>
      <c r="G23" t="s">
        <v>57</v>
      </c>
      <c r="H23">
        <v>5</v>
      </c>
      <c r="I23" t="s">
        <v>24</v>
      </c>
      <c r="J23">
        <v>31382</v>
      </c>
      <c r="K23" t="s">
        <v>36</v>
      </c>
      <c r="L23" t="s">
        <v>54</v>
      </c>
      <c r="M23" t="s">
        <v>27</v>
      </c>
      <c r="N23" s="2">
        <v>45108</v>
      </c>
      <c r="O23" s="2">
        <v>45139.875</v>
      </c>
      <c r="P23" t="s">
        <v>37</v>
      </c>
      <c r="Q23" t="s">
        <v>29</v>
      </c>
      <c r="R23" t="s">
        <v>47</v>
      </c>
      <c r="S23">
        <v>7</v>
      </c>
      <c r="T23">
        <v>12</v>
      </c>
      <c r="U23" t="s">
        <v>31</v>
      </c>
      <c r="V23" t="str">
        <f t="shared" si="0"/>
        <v>Jul-2023</v>
      </c>
      <c r="W23" s="16">
        <f>Table1[[#This Row],[Consultation Date]] - Table1[[#This Row],[Appointment Date]]</f>
        <v>31.875</v>
      </c>
    </row>
    <row r="24" spans="1:26" x14ac:dyDescent="0.3">
      <c r="A24" t="s">
        <v>81</v>
      </c>
      <c r="B24">
        <v>33</v>
      </c>
      <c r="C24" t="s">
        <v>52</v>
      </c>
      <c r="D24" s="2">
        <v>45090</v>
      </c>
      <c r="E24" s="2">
        <v>45100</v>
      </c>
      <c r="F24">
        <v>10</v>
      </c>
      <c r="G24" t="s">
        <v>63</v>
      </c>
      <c r="H24">
        <v>2</v>
      </c>
      <c r="I24" t="s">
        <v>71</v>
      </c>
      <c r="J24">
        <v>16139</v>
      </c>
      <c r="K24" t="s">
        <v>25</v>
      </c>
      <c r="L24" t="s">
        <v>54</v>
      </c>
      <c r="M24" t="s">
        <v>27</v>
      </c>
      <c r="N24" s="2">
        <v>45144</v>
      </c>
      <c r="O24" s="2">
        <v>45175.958333333336</v>
      </c>
      <c r="P24" t="s">
        <v>55</v>
      </c>
      <c r="Q24" t="s">
        <v>29</v>
      </c>
      <c r="R24" t="s">
        <v>47</v>
      </c>
      <c r="S24">
        <v>7</v>
      </c>
      <c r="T24">
        <v>12</v>
      </c>
      <c r="U24" t="s">
        <v>31</v>
      </c>
      <c r="V24" t="str">
        <f t="shared" si="0"/>
        <v>Jun-2023</v>
      </c>
      <c r="W24" s="16">
        <f>Table1[[#This Row],[Consultation Date]] - Table1[[#This Row],[Appointment Date]]</f>
        <v>31.958333333335759</v>
      </c>
    </row>
    <row r="25" spans="1:26" x14ac:dyDescent="0.3">
      <c r="A25" t="s">
        <v>82</v>
      </c>
      <c r="B25">
        <v>76</v>
      </c>
      <c r="C25" t="s">
        <v>52</v>
      </c>
      <c r="D25" s="2">
        <v>45507</v>
      </c>
      <c r="E25" s="2">
        <v>45371</v>
      </c>
      <c r="F25">
        <v>12</v>
      </c>
      <c r="G25" t="s">
        <v>57</v>
      </c>
      <c r="H25">
        <v>3</v>
      </c>
      <c r="I25" t="s">
        <v>71</v>
      </c>
      <c r="J25">
        <v>37060</v>
      </c>
      <c r="K25" t="s">
        <v>25</v>
      </c>
      <c r="L25" t="s">
        <v>54</v>
      </c>
      <c r="M25" t="s">
        <v>27</v>
      </c>
      <c r="N25" s="2">
        <v>45476</v>
      </c>
      <c r="O25" s="2">
        <v>45476.25</v>
      </c>
      <c r="P25" t="s">
        <v>64</v>
      </c>
      <c r="Q25" t="s">
        <v>29</v>
      </c>
      <c r="R25" t="s">
        <v>47</v>
      </c>
      <c r="S25">
        <v>9</v>
      </c>
      <c r="T25">
        <v>12</v>
      </c>
      <c r="U25" t="s">
        <v>31</v>
      </c>
      <c r="V25" t="str">
        <f t="shared" si="0"/>
        <v>Aug-2024</v>
      </c>
      <c r="W25" s="16">
        <f>Table1[[#This Row],[Consultation Date]] - Table1[[#This Row],[Appointment Date]]</f>
        <v>0.25</v>
      </c>
    </row>
    <row r="26" spans="1:26" x14ac:dyDescent="0.3">
      <c r="A26" t="s">
        <v>83</v>
      </c>
      <c r="B26">
        <v>58</v>
      </c>
      <c r="C26" t="s">
        <v>45</v>
      </c>
      <c r="D26" s="2">
        <v>45275</v>
      </c>
      <c r="E26" s="2">
        <v>45287</v>
      </c>
      <c r="F26">
        <v>12</v>
      </c>
      <c r="G26" t="s">
        <v>63</v>
      </c>
      <c r="H26">
        <v>3</v>
      </c>
      <c r="I26" t="s">
        <v>46</v>
      </c>
      <c r="J26">
        <v>27419</v>
      </c>
      <c r="K26" t="s">
        <v>67</v>
      </c>
      <c r="L26" t="s">
        <v>54</v>
      </c>
      <c r="M26" t="s">
        <v>27</v>
      </c>
      <c r="N26" s="2">
        <v>45272</v>
      </c>
      <c r="O26" s="2">
        <v>45273.375</v>
      </c>
      <c r="P26" t="s">
        <v>64</v>
      </c>
      <c r="Q26" t="s">
        <v>29</v>
      </c>
      <c r="R26" t="s">
        <v>43</v>
      </c>
      <c r="S26">
        <v>5</v>
      </c>
      <c r="T26">
        <v>10</v>
      </c>
      <c r="U26" t="s">
        <v>68</v>
      </c>
      <c r="V26" t="str">
        <f t="shared" si="0"/>
        <v>Dec-2023</v>
      </c>
      <c r="W26" s="16">
        <f>Table1[[#This Row],[Consultation Date]] - Table1[[#This Row],[Appointment Date]]</f>
        <v>1.375</v>
      </c>
    </row>
    <row r="27" spans="1:26" x14ac:dyDescent="0.3">
      <c r="A27" t="s">
        <v>84</v>
      </c>
      <c r="B27">
        <v>22</v>
      </c>
      <c r="C27" t="s">
        <v>45</v>
      </c>
      <c r="D27" s="2">
        <v>45270</v>
      </c>
      <c r="E27" s="2">
        <v>45214</v>
      </c>
      <c r="F27">
        <v>3</v>
      </c>
      <c r="G27" t="s">
        <v>57</v>
      </c>
      <c r="H27">
        <v>2</v>
      </c>
      <c r="I27" t="s">
        <v>71</v>
      </c>
      <c r="J27">
        <v>32785</v>
      </c>
      <c r="K27" t="s">
        <v>67</v>
      </c>
      <c r="L27" t="s">
        <v>26</v>
      </c>
      <c r="M27" t="s">
        <v>27</v>
      </c>
      <c r="N27" s="2">
        <v>45148</v>
      </c>
      <c r="O27" s="2">
        <v>45209</v>
      </c>
      <c r="P27" t="s">
        <v>55</v>
      </c>
      <c r="Q27" t="s">
        <v>29</v>
      </c>
      <c r="R27" t="s">
        <v>30</v>
      </c>
      <c r="S27">
        <v>7</v>
      </c>
      <c r="T27">
        <v>12</v>
      </c>
      <c r="U27" t="s">
        <v>31</v>
      </c>
      <c r="V27" t="str">
        <f t="shared" si="0"/>
        <v>Dec-2023</v>
      </c>
      <c r="W27" s="16">
        <f>Table1[[#This Row],[Consultation Date]] - Table1[[#This Row],[Appointment Date]]</f>
        <v>61</v>
      </c>
    </row>
    <row r="28" spans="1:26" x14ac:dyDescent="0.3">
      <c r="A28" t="s">
        <v>85</v>
      </c>
      <c r="B28">
        <v>89</v>
      </c>
      <c r="C28" t="s">
        <v>41</v>
      </c>
      <c r="D28" s="2">
        <v>45175</v>
      </c>
      <c r="E28" s="2">
        <v>45101</v>
      </c>
      <c r="F28">
        <v>15</v>
      </c>
      <c r="G28" t="s">
        <v>34</v>
      </c>
      <c r="H28">
        <v>2</v>
      </c>
      <c r="I28" t="s">
        <v>71</v>
      </c>
      <c r="J28">
        <v>20702</v>
      </c>
      <c r="K28" t="s">
        <v>60</v>
      </c>
      <c r="L28" t="s">
        <v>26</v>
      </c>
      <c r="M28" t="s">
        <v>27</v>
      </c>
      <c r="N28" s="2">
        <v>45083</v>
      </c>
      <c r="O28" s="2">
        <v>45083.958333333336</v>
      </c>
      <c r="P28" t="s">
        <v>28</v>
      </c>
      <c r="Q28" t="s">
        <v>29</v>
      </c>
      <c r="R28" t="s">
        <v>30</v>
      </c>
      <c r="S28">
        <v>9</v>
      </c>
      <c r="T28">
        <v>10</v>
      </c>
      <c r="U28" t="s">
        <v>68</v>
      </c>
      <c r="V28" t="str">
        <f t="shared" si="0"/>
        <v>Sep-2023</v>
      </c>
      <c r="W28" s="16">
        <f>Table1[[#This Row],[Consultation Date]] - Table1[[#This Row],[Appointment Date]]</f>
        <v>0.95833333333575865</v>
      </c>
    </row>
    <row r="29" spans="1:26" x14ac:dyDescent="0.3">
      <c r="A29" t="s">
        <v>86</v>
      </c>
      <c r="B29">
        <v>49</v>
      </c>
      <c r="C29" t="s">
        <v>45</v>
      </c>
      <c r="D29" s="2">
        <v>45177</v>
      </c>
      <c r="E29" s="2">
        <v>45154</v>
      </c>
      <c r="F29">
        <v>7</v>
      </c>
      <c r="G29" t="s">
        <v>40</v>
      </c>
      <c r="H29">
        <v>3</v>
      </c>
      <c r="I29" t="s">
        <v>66</v>
      </c>
      <c r="J29">
        <v>34217</v>
      </c>
      <c r="K29" t="s">
        <v>67</v>
      </c>
      <c r="L29" t="s">
        <v>54</v>
      </c>
      <c r="M29" t="s">
        <v>27</v>
      </c>
      <c r="N29" s="2">
        <v>45054</v>
      </c>
      <c r="O29" s="2">
        <v>45054.166666666664</v>
      </c>
      <c r="P29" t="s">
        <v>55</v>
      </c>
      <c r="Q29" t="s">
        <v>29</v>
      </c>
      <c r="R29" t="s">
        <v>43</v>
      </c>
      <c r="S29">
        <v>9</v>
      </c>
      <c r="T29">
        <v>10</v>
      </c>
      <c r="U29" t="s">
        <v>48</v>
      </c>
      <c r="V29" t="str">
        <f t="shared" si="0"/>
        <v>Sep-2023</v>
      </c>
      <c r="W29" s="16">
        <f>Table1[[#This Row],[Consultation Date]] - Table1[[#This Row],[Appointment Date]]</f>
        <v>0.16666666666424135</v>
      </c>
    </row>
    <row r="30" spans="1:26" x14ac:dyDescent="0.3">
      <c r="A30" t="s">
        <v>87</v>
      </c>
      <c r="B30">
        <v>59</v>
      </c>
      <c r="C30" t="s">
        <v>62</v>
      </c>
      <c r="D30" s="2">
        <v>45242</v>
      </c>
      <c r="E30" s="2">
        <v>45282</v>
      </c>
      <c r="F30">
        <v>11</v>
      </c>
      <c r="G30" t="s">
        <v>63</v>
      </c>
      <c r="H30">
        <v>4</v>
      </c>
      <c r="I30" t="s">
        <v>46</v>
      </c>
      <c r="J30">
        <v>44291</v>
      </c>
      <c r="K30" t="s">
        <v>67</v>
      </c>
      <c r="L30" t="s">
        <v>54</v>
      </c>
      <c r="M30" t="s">
        <v>27</v>
      </c>
      <c r="N30" s="2">
        <v>45242</v>
      </c>
      <c r="O30" s="2">
        <v>45242.291666666664</v>
      </c>
      <c r="P30" t="s">
        <v>42</v>
      </c>
      <c r="Q30" t="s">
        <v>29</v>
      </c>
      <c r="R30" t="s">
        <v>43</v>
      </c>
      <c r="S30">
        <v>4</v>
      </c>
      <c r="T30">
        <v>8</v>
      </c>
      <c r="U30" t="s">
        <v>31</v>
      </c>
      <c r="V30" t="str">
        <f t="shared" si="0"/>
        <v>Nov-2023</v>
      </c>
      <c r="W30" s="16">
        <f>Table1[[#This Row],[Consultation Date]] - Table1[[#This Row],[Appointment Date]]</f>
        <v>0.29166666666424135</v>
      </c>
    </row>
    <row r="31" spans="1:26" x14ac:dyDescent="0.3">
      <c r="A31" t="s">
        <v>88</v>
      </c>
      <c r="B31">
        <v>42</v>
      </c>
      <c r="C31" t="s">
        <v>33</v>
      </c>
      <c r="D31" s="2">
        <v>45031</v>
      </c>
      <c r="E31" s="2">
        <v>45033</v>
      </c>
      <c r="F31">
        <v>2</v>
      </c>
      <c r="G31" t="s">
        <v>50</v>
      </c>
      <c r="H31">
        <v>1</v>
      </c>
      <c r="I31" t="s">
        <v>35</v>
      </c>
      <c r="J31">
        <v>17397</v>
      </c>
      <c r="K31" t="s">
        <v>25</v>
      </c>
      <c r="L31" t="s">
        <v>54</v>
      </c>
      <c r="M31" t="s">
        <v>27</v>
      </c>
      <c r="N31" s="2">
        <v>45029</v>
      </c>
      <c r="O31" s="2">
        <v>45030.166666666664</v>
      </c>
      <c r="P31" t="s">
        <v>55</v>
      </c>
      <c r="Q31" t="s">
        <v>29</v>
      </c>
      <c r="R31" t="s">
        <v>43</v>
      </c>
      <c r="S31">
        <v>8</v>
      </c>
      <c r="T31">
        <v>8</v>
      </c>
      <c r="U31" t="s">
        <v>31</v>
      </c>
      <c r="V31" t="str">
        <f t="shared" si="0"/>
        <v>Apr-2023</v>
      </c>
      <c r="W31" s="16">
        <f>Table1[[#This Row],[Consultation Date]] - Table1[[#This Row],[Appointment Date]]</f>
        <v>1.1666666666642413</v>
      </c>
    </row>
    <row r="32" spans="1:26" x14ac:dyDescent="0.3">
      <c r="A32" t="s">
        <v>89</v>
      </c>
      <c r="B32">
        <v>60</v>
      </c>
      <c r="C32" t="s">
        <v>45</v>
      </c>
      <c r="D32" s="2">
        <v>45050</v>
      </c>
      <c r="E32" s="2">
        <v>45035</v>
      </c>
      <c r="F32">
        <v>14</v>
      </c>
      <c r="G32" t="s">
        <v>40</v>
      </c>
      <c r="H32">
        <v>1</v>
      </c>
      <c r="I32" t="s">
        <v>24</v>
      </c>
      <c r="J32">
        <v>45879</v>
      </c>
      <c r="K32" t="s">
        <v>60</v>
      </c>
      <c r="L32" t="s">
        <v>26</v>
      </c>
      <c r="M32" t="s">
        <v>27</v>
      </c>
      <c r="N32" s="2">
        <v>44989</v>
      </c>
      <c r="O32" s="2">
        <v>44989.625</v>
      </c>
      <c r="P32" t="s">
        <v>28</v>
      </c>
      <c r="Q32" t="s">
        <v>29</v>
      </c>
      <c r="R32" t="s">
        <v>43</v>
      </c>
      <c r="S32">
        <v>11</v>
      </c>
      <c r="T32">
        <v>10</v>
      </c>
      <c r="U32" t="s">
        <v>31</v>
      </c>
      <c r="V32" t="str">
        <f t="shared" si="0"/>
        <v>May-2023</v>
      </c>
      <c r="W32" s="16">
        <f>Table1[[#This Row],[Consultation Date]] - Table1[[#This Row],[Appointment Date]]</f>
        <v>0.625</v>
      </c>
    </row>
    <row r="33" spans="1:23" x14ac:dyDescent="0.3">
      <c r="A33" t="s">
        <v>90</v>
      </c>
      <c r="B33">
        <v>80</v>
      </c>
      <c r="C33" t="s">
        <v>22</v>
      </c>
      <c r="D33" s="2">
        <v>45316</v>
      </c>
      <c r="E33" s="2">
        <v>45324</v>
      </c>
      <c r="F33">
        <v>8</v>
      </c>
      <c r="G33" t="s">
        <v>50</v>
      </c>
      <c r="H33">
        <v>3</v>
      </c>
      <c r="I33" t="s">
        <v>71</v>
      </c>
      <c r="J33">
        <v>40169</v>
      </c>
      <c r="K33" t="s">
        <v>67</v>
      </c>
      <c r="L33" t="s">
        <v>26</v>
      </c>
      <c r="M33" t="s">
        <v>27</v>
      </c>
      <c r="N33" s="2">
        <v>45311</v>
      </c>
      <c r="O33" s="2">
        <v>45311.208333333336</v>
      </c>
      <c r="P33" t="s">
        <v>55</v>
      </c>
      <c r="Q33" t="s">
        <v>29</v>
      </c>
      <c r="R33" t="s">
        <v>43</v>
      </c>
      <c r="S33">
        <v>7</v>
      </c>
      <c r="T33">
        <v>8</v>
      </c>
      <c r="U33" t="s">
        <v>48</v>
      </c>
      <c r="V33" t="str">
        <f t="shared" si="0"/>
        <v>Jan-2024</v>
      </c>
      <c r="W33" s="16">
        <f>Table1[[#This Row],[Consultation Date]] - Table1[[#This Row],[Appointment Date]]</f>
        <v>0.20833333333575865</v>
      </c>
    </row>
    <row r="34" spans="1:23" x14ac:dyDescent="0.3">
      <c r="A34" t="s">
        <v>91</v>
      </c>
      <c r="B34">
        <v>15</v>
      </c>
      <c r="C34" t="s">
        <v>41</v>
      </c>
      <c r="D34" s="2">
        <v>45203</v>
      </c>
      <c r="E34" s="2">
        <v>45036</v>
      </c>
      <c r="F34">
        <v>10</v>
      </c>
      <c r="G34" t="s">
        <v>40</v>
      </c>
      <c r="H34">
        <v>2</v>
      </c>
      <c r="I34" t="s">
        <v>24</v>
      </c>
      <c r="J34">
        <v>31940</v>
      </c>
      <c r="K34" t="s">
        <v>67</v>
      </c>
      <c r="L34" t="s">
        <v>54</v>
      </c>
      <c r="M34" t="s">
        <v>41</v>
      </c>
      <c r="N34" s="2">
        <v>45111</v>
      </c>
      <c r="O34" s="2">
        <v>45111.916666666664</v>
      </c>
      <c r="P34" t="s">
        <v>64</v>
      </c>
      <c r="Q34" t="s">
        <v>38</v>
      </c>
      <c r="R34" t="s">
        <v>47</v>
      </c>
      <c r="S34">
        <v>8</v>
      </c>
      <c r="T34">
        <v>8</v>
      </c>
      <c r="U34" t="s">
        <v>31</v>
      </c>
      <c r="V34" t="str">
        <f t="shared" si="0"/>
        <v>Oct-2023</v>
      </c>
      <c r="W34" s="16">
        <f>Table1[[#This Row],[Consultation Date]] - Table1[[#This Row],[Appointment Date]]</f>
        <v>0.91666666666424135</v>
      </c>
    </row>
    <row r="35" spans="1:23" x14ac:dyDescent="0.3">
      <c r="A35" t="s">
        <v>92</v>
      </c>
      <c r="B35">
        <v>62</v>
      </c>
      <c r="C35" t="s">
        <v>22</v>
      </c>
      <c r="D35" s="2">
        <v>45352</v>
      </c>
      <c r="E35" s="2">
        <v>45566</v>
      </c>
      <c r="F35">
        <v>7</v>
      </c>
      <c r="G35" t="s">
        <v>40</v>
      </c>
      <c r="H35">
        <v>4</v>
      </c>
      <c r="I35" t="s">
        <v>35</v>
      </c>
      <c r="J35">
        <v>47249</v>
      </c>
      <c r="K35" t="s">
        <v>60</v>
      </c>
      <c r="L35" t="s">
        <v>26</v>
      </c>
      <c r="M35" t="s">
        <v>27</v>
      </c>
      <c r="N35" s="2">
        <v>45323</v>
      </c>
      <c r="O35" s="2">
        <v>45352.625</v>
      </c>
      <c r="P35" t="s">
        <v>37</v>
      </c>
      <c r="Q35" t="s">
        <v>29</v>
      </c>
      <c r="R35" t="s">
        <v>30</v>
      </c>
      <c r="S35">
        <v>5</v>
      </c>
      <c r="T35">
        <v>12</v>
      </c>
      <c r="U35" t="s">
        <v>68</v>
      </c>
      <c r="V35" t="str">
        <f t="shared" si="0"/>
        <v>Mar-2024</v>
      </c>
      <c r="W35" s="16">
        <f>Table1[[#This Row],[Consultation Date]] - Table1[[#This Row],[Appointment Date]]</f>
        <v>29.625</v>
      </c>
    </row>
    <row r="36" spans="1:23" x14ac:dyDescent="0.3">
      <c r="A36" t="s">
        <v>93</v>
      </c>
      <c r="B36">
        <v>62</v>
      </c>
      <c r="C36" t="s">
        <v>52</v>
      </c>
      <c r="D36" s="2">
        <v>45279</v>
      </c>
      <c r="E36" s="2">
        <v>45284</v>
      </c>
      <c r="F36">
        <v>5</v>
      </c>
      <c r="G36" t="s">
        <v>57</v>
      </c>
      <c r="H36">
        <v>3</v>
      </c>
      <c r="I36" t="s">
        <v>24</v>
      </c>
      <c r="J36">
        <v>33341</v>
      </c>
      <c r="K36" t="s">
        <v>36</v>
      </c>
      <c r="L36" t="s">
        <v>26</v>
      </c>
      <c r="M36" t="s">
        <v>27</v>
      </c>
      <c r="N36" s="2">
        <v>45275</v>
      </c>
      <c r="O36" s="2">
        <v>45276.666666666664</v>
      </c>
      <c r="P36" t="s">
        <v>64</v>
      </c>
      <c r="Q36" t="s">
        <v>29</v>
      </c>
      <c r="R36" t="s">
        <v>43</v>
      </c>
      <c r="S36">
        <v>9</v>
      </c>
      <c r="T36">
        <v>8</v>
      </c>
      <c r="U36" t="s">
        <v>48</v>
      </c>
      <c r="V36" t="str">
        <f t="shared" si="0"/>
        <v>Dec-2023</v>
      </c>
      <c r="W36" s="16">
        <f>Table1[[#This Row],[Consultation Date]] - Table1[[#This Row],[Appointment Date]]</f>
        <v>1.6666666666642413</v>
      </c>
    </row>
    <row r="37" spans="1:23" x14ac:dyDescent="0.3">
      <c r="A37" t="s">
        <v>94</v>
      </c>
      <c r="B37">
        <v>47</v>
      </c>
      <c r="C37" t="s">
        <v>33</v>
      </c>
      <c r="D37" s="2">
        <v>45197</v>
      </c>
      <c r="E37" s="2">
        <v>45198</v>
      </c>
      <c r="F37">
        <v>1</v>
      </c>
      <c r="G37" t="s">
        <v>63</v>
      </c>
      <c r="H37">
        <v>1</v>
      </c>
      <c r="I37" t="s">
        <v>35</v>
      </c>
      <c r="J37">
        <v>15067</v>
      </c>
      <c r="K37" t="s">
        <v>60</v>
      </c>
      <c r="L37" t="s">
        <v>26</v>
      </c>
      <c r="M37" t="s">
        <v>41</v>
      </c>
      <c r="N37" s="2">
        <v>45195</v>
      </c>
      <c r="O37" s="2">
        <v>45196.625</v>
      </c>
      <c r="P37" t="s">
        <v>37</v>
      </c>
      <c r="Q37" t="s">
        <v>29</v>
      </c>
      <c r="R37" t="s">
        <v>47</v>
      </c>
      <c r="S37">
        <v>10</v>
      </c>
      <c r="T37">
        <v>10</v>
      </c>
      <c r="U37" t="s">
        <v>48</v>
      </c>
      <c r="V37" t="str">
        <f t="shared" si="0"/>
        <v>Sep-2023</v>
      </c>
      <c r="W37" s="16">
        <f>Table1[[#This Row],[Consultation Date]] - Table1[[#This Row],[Appointment Date]]</f>
        <v>1.625</v>
      </c>
    </row>
    <row r="38" spans="1:23" x14ac:dyDescent="0.3">
      <c r="A38" t="s">
        <v>95</v>
      </c>
      <c r="B38">
        <v>62</v>
      </c>
      <c r="C38" t="s">
        <v>45</v>
      </c>
      <c r="D38" s="2">
        <v>44971</v>
      </c>
      <c r="E38" s="2">
        <v>44983</v>
      </c>
      <c r="F38">
        <v>12</v>
      </c>
      <c r="G38" t="s">
        <v>63</v>
      </c>
      <c r="H38">
        <v>5</v>
      </c>
      <c r="I38" t="s">
        <v>66</v>
      </c>
      <c r="J38">
        <v>18824</v>
      </c>
      <c r="K38" t="s">
        <v>25</v>
      </c>
      <c r="L38" t="s">
        <v>26</v>
      </c>
      <c r="M38" t="s">
        <v>41</v>
      </c>
      <c r="N38" s="2">
        <v>45171</v>
      </c>
      <c r="O38" s="2">
        <v>45201.083333333336</v>
      </c>
      <c r="P38" t="s">
        <v>55</v>
      </c>
      <c r="Q38" t="s">
        <v>29</v>
      </c>
      <c r="R38" t="s">
        <v>43</v>
      </c>
      <c r="S38">
        <v>11</v>
      </c>
      <c r="T38">
        <v>8</v>
      </c>
      <c r="U38" t="s">
        <v>48</v>
      </c>
      <c r="V38" t="str">
        <f t="shared" si="0"/>
        <v>Feb-2023</v>
      </c>
      <c r="W38" s="16">
        <f>Table1[[#This Row],[Consultation Date]] - Table1[[#This Row],[Appointment Date]]</f>
        <v>30.083333333335759</v>
      </c>
    </row>
    <row r="39" spans="1:23" x14ac:dyDescent="0.3">
      <c r="A39" t="s">
        <v>96</v>
      </c>
      <c r="B39">
        <v>51</v>
      </c>
      <c r="C39" t="s">
        <v>22</v>
      </c>
      <c r="D39" s="2">
        <v>45397</v>
      </c>
      <c r="E39" s="2">
        <v>45403</v>
      </c>
      <c r="F39">
        <v>6</v>
      </c>
      <c r="G39" t="s">
        <v>40</v>
      </c>
      <c r="H39">
        <v>2</v>
      </c>
      <c r="I39" t="s">
        <v>71</v>
      </c>
      <c r="J39">
        <v>18444</v>
      </c>
      <c r="K39" t="s">
        <v>36</v>
      </c>
      <c r="L39" t="s">
        <v>26</v>
      </c>
      <c r="M39" t="s">
        <v>27</v>
      </c>
      <c r="N39" s="2">
        <v>45630</v>
      </c>
      <c r="O39" s="2">
        <v>45630.875</v>
      </c>
      <c r="P39" t="s">
        <v>42</v>
      </c>
      <c r="Q39" t="s">
        <v>29</v>
      </c>
      <c r="R39" t="s">
        <v>47</v>
      </c>
      <c r="S39">
        <v>11</v>
      </c>
      <c r="T39">
        <v>12</v>
      </c>
      <c r="U39" t="s">
        <v>48</v>
      </c>
      <c r="V39" t="str">
        <f t="shared" si="0"/>
        <v>Apr-2024</v>
      </c>
      <c r="W39" s="16">
        <f>Table1[[#This Row],[Consultation Date]] - Table1[[#This Row],[Appointment Date]]</f>
        <v>0.875</v>
      </c>
    </row>
    <row r="40" spans="1:23" x14ac:dyDescent="0.3">
      <c r="A40" t="s">
        <v>97</v>
      </c>
      <c r="B40">
        <v>55</v>
      </c>
      <c r="C40" t="s">
        <v>33</v>
      </c>
      <c r="D40" s="2">
        <v>45143</v>
      </c>
      <c r="E40" s="2">
        <v>45265</v>
      </c>
      <c r="F40">
        <v>4</v>
      </c>
      <c r="G40" t="s">
        <v>34</v>
      </c>
      <c r="H40">
        <v>5</v>
      </c>
      <c r="I40" t="s">
        <v>35</v>
      </c>
      <c r="J40">
        <v>38307</v>
      </c>
      <c r="K40" t="s">
        <v>53</v>
      </c>
      <c r="L40" t="s">
        <v>26</v>
      </c>
      <c r="M40" t="s">
        <v>27</v>
      </c>
      <c r="N40" s="2">
        <v>45112</v>
      </c>
      <c r="O40" s="2">
        <v>45112.083333333336</v>
      </c>
      <c r="P40" t="s">
        <v>55</v>
      </c>
      <c r="Q40" t="s">
        <v>29</v>
      </c>
      <c r="R40" t="s">
        <v>43</v>
      </c>
      <c r="S40">
        <v>7</v>
      </c>
      <c r="T40">
        <v>10</v>
      </c>
      <c r="U40" t="s">
        <v>48</v>
      </c>
      <c r="V40" t="str">
        <f t="shared" si="0"/>
        <v>Aug-2023</v>
      </c>
      <c r="W40" s="16">
        <f>Table1[[#This Row],[Consultation Date]] - Table1[[#This Row],[Appointment Date]]</f>
        <v>8.3333333335758653E-2</v>
      </c>
    </row>
    <row r="41" spans="1:23" x14ac:dyDescent="0.3">
      <c r="A41" t="s">
        <v>98</v>
      </c>
      <c r="B41">
        <v>64</v>
      </c>
      <c r="C41" t="s">
        <v>52</v>
      </c>
      <c r="D41" s="2">
        <v>45314</v>
      </c>
      <c r="E41" s="2">
        <v>45322</v>
      </c>
      <c r="F41">
        <v>8</v>
      </c>
      <c r="G41" t="s">
        <v>34</v>
      </c>
      <c r="H41">
        <v>3</v>
      </c>
      <c r="I41" t="s">
        <v>24</v>
      </c>
      <c r="J41">
        <v>15974</v>
      </c>
      <c r="K41" t="s">
        <v>60</v>
      </c>
      <c r="L41" t="s">
        <v>54</v>
      </c>
      <c r="M41" t="s">
        <v>27</v>
      </c>
      <c r="N41" s="2">
        <v>45314</v>
      </c>
      <c r="O41" s="2">
        <v>45315.708333333336</v>
      </c>
      <c r="P41" t="s">
        <v>28</v>
      </c>
      <c r="Q41" t="s">
        <v>29</v>
      </c>
      <c r="R41" t="s">
        <v>30</v>
      </c>
      <c r="S41">
        <v>10</v>
      </c>
      <c r="T41">
        <v>8</v>
      </c>
      <c r="U41" t="s">
        <v>68</v>
      </c>
      <c r="V41" t="str">
        <f t="shared" si="0"/>
        <v>Jan-2024</v>
      </c>
      <c r="W41" s="16">
        <f>Table1[[#This Row],[Consultation Date]] - Table1[[#This Row],[Appointment Date]]</f>
        <v>1.7083333333357587</v>
      </c>
    </row>
    <row r="42" spans="1:23" x14ac:dyDescent="0.3">
      <c r="A42" t="s">
        <v>99</v>
      </c>
      <c r="B42">
        <v>3</v>
      </c>
      <c r="C42" t="s">
        <v>62</v>
      </c>
      <c r="D42" s="2">
        <v>45007</v>
      </c>
      <c r="E42" s="2">
        <v>45015</v>
      </c>
      <c r="F42">
        <v>8</v>
      </c>
      <c r="G42" t="s">
        <v>50</v>
      </c>
      <c r="H42">
        <v>1</v>
      </c>
      <c r="I42" t="s">
        <v>71</v>
      </c>
      <c r="J42">
        <v>43383</v>
      </c>
      <c r="K42" t="s">
        <v>25</v>
      </c>
      <c r="L42" t="s">
        <v>26</v>
      </c>
      <c r="M42" t="s">
        <v>41</v>
      </c>
      <c r="N42" s="2">
        <v>45006</v>
      </c>
      <c r="O42" s="2">
        <v>45006.75</v>
      </c>
      <c r="P42" t="s">
        <v>55</v>
      </c>
      <c r="Q42" t="s">
        <v>29</v>
      </c>
      <c r="R42" t="s">
        <v>43</v>
      </c>
      <c r="S42">
        <v>6</v>
      </c>
      <c r="T42">
        <v>10</v>
      </c>
      <c r="U42" t="s">
        <v>48</v>
      </c>
      <c r="V42" t="str">
        <f t="shared" si="0"/>
        <v>Mar-2023</v>
      </c>
      <c r="W42" s="16">
        <f>Table1[[#This Row],[Consultation Date]] - Table1[[#This Row],[Appointment Date]]</f>
        <v>0.75</v>
      </c>
    </row>
    <row r="43" spans="1:23" x14ac:dyDescent="0.3">
      <c r="A43" t="s">
        <v>100</v>
      </c>
      <c r="B43">
        <v>51</v>
      </c>
      <c r="C43" t="s">
        <v>41</v>
      </c>
      <c r="D43" s="2">
        <v>45227</v>
      </c>
      <c r="E43" s="2">
        <v>44937</v>
      </c>
      <c r="F43">
        <v>4</v>
      </c>
      <c r="G43" t="s">
        <v>50</v>
      </c>
      <c r="H43">
        <v>4</v>
      </c>
      <c r="I43" t="s">
        <v>66</v>
      </c>
      <c r="J43">
        <v>34290</v>
      </c>
      <c r="K43" t="s">
        <v>36</v>
      </c>
      <c r="L43" t="s">
        <v>54</v>
      </c>
      <c r="M43" t="s">
        <v>27</v>
      </c>
      <c r="N43" s="2">
        <v>45227</v>
      </c>
      <c r="O43" s="2">
        <v>45228.208333333336</v>
      </c>
      <c r="P43" t="s">
        <v>37</v>
      </c>
      <c r="Q43" t="s">
        <v>29</v>
      </c>
      <c r="R43" t="s">
        <v>43</v>
      </c>
      <c r="S43">
        <v>5</v>
      </c>
      <c r="T43">
        <v>8</v>
      </c>
      <c r="U43" t="s">
        <v>31</v>
      </c>
      <c r="V43" t="str">
        <f t="shared" si="0"/>
        <v>Oct-2023</v>
      </c>
      <c r="W43" s="16">
        <f>Table1[[#This Row],[Consultation Date]] - Table1[[#This Row],[Appointment Date]]</f>
        <v>1.2083333333357587</v>
      </c>
    </row>
    <row r="44" spans="1:23" x14ac:dyDescent="0.3">
      <c r="A44" t="s">
        <v>101</v>
      </c>
      <c r="B44">
        <v>7</v>
      </c>
      <c r="C44" t="s">
        <v>33</v>
      </c>
      <c r="D44" s="2">
        <v>45444</v>
      </c>
      <c r="E44" s="2">
        <v>45311</v>
      </c>
      <c r="F44">
        <v>14</v>
      </c>
      <c r="G44" t="s">
        <v>57</v>
      </c>
      <c r="H44">
        <v>5</v>
      </c>
      <c r="I44" t="s">
        <v>71</v>
      </c>
      <c r="J44">
        <v>21016</v>
      </c>
      <c r="K44" t="s">
        <v>60</v>
      </c>
      <c r="L44" t="s">
        <v>54</v>
      </c>
      <c r="M44" t="s">
        <v>41</v>
      </c>
      <c r="N44" s="2">
        <v>45352</v>
      </c>
      <c r="O44" s="2">
        <v>45383.333333333336</v>
      </c>
      <c r="P44" t="s">
        <v>64</v>
      </c>
      <c r="Q44" t="s">
        <v>29</v>
      </c>
      <c r="R44" t="s">
        <v>30</v>
      </c>
      <c r="S44">
        <v>4</v>
      </c>
      <c r="T44">
        <v>12</v>
      </c>
      <c r="U44" t="s">
        <v>48</v>
      </c>
      <c r="V44" t="str">
        <f t="shared" si="0"/>
        <v>Jun-2024</v>
      </c>
      <c r="W44" s="16">
        <f>Table1[[#This Row],[Consultation Date]] - Table1[[#This Row],[Appointment Date]]</f>
        <v>31.333333333335759</v>
      </c>
    </row>
    <row r="45" spans="1:23" x14ac:dyDescent="0.3">
      <c r="A45" t="s">
        <v>102</v>
      </c>
      <c r="B45">
        <v>21</v>
      </c>
      <c r="C45" t="s">
        <v>33</v>
      </c>
      <c r="D45" s="2">
        <v>45123</v>
      </c>
      <c r="E45" s="2">
        <v>45129</v>
      </c>
      <c r="F45">
        <v>6</v>
      </c>
      <c r="G45" t="s">
        <v>40</v>
      </c>
      <c r="H45">
        <v>4</v>
      </c>
      <c r="I45" t="s">
        <v>35</v>
      </c>
      <c r="J45">
        <v>37112</v>
      </c>
      <c r="K45" t="s">
        <v>67</v>
      </c>
      <c r="L45" t="s">
        <v>54</v>
      </c>
      <c r="M45" t="s">
        <v>27</v>
      </c>
      <c r="N45" s="2">
        <v>45122</v>
      </c>
      <c r="O45" s="2">
        <v>45122.625</v>
      </c>
      <c r="P45" t="s">
        <v>42</v>
      </c>
      <c r="Q45" t="s">
        <v>29</v>
      </c>
      <c r="R45" t="s">
        <v>30</v>
      </c>
      <c r="S45">
        <v>4</v>
      </c>
      <c r="T45">
        <v>8</v>
      </c>
      <c r="U45" t="s">
        <v>48</v>
      </c>
      <c r="V45" t="str">
        <f t="shared" si="0"/>
        <v>Jul-2023</v>
      </c>
      <c r="W45" s="16">
        <f>Table1[[#This Row],[Consultation Date]] - Table1[[#This Row],[Appointment Date]]</f>
        <v>0.625</v>
      </c>
    </row>
    <row r="46" spans="1:23" x14ac:dyDescent="0.3">
      <c r="A46" t="s">
        <v>103</v>
      </c>
      <c r="B46">
        <v>73</v>
      </c>
      <c r="C46" t="s">
        <v>62</v>
      </c>
      <c r="D46" s="2">
        <v>44998</v>
      </c>
      <c r="E46" s="2">
        <v>45000</v>
      </c>
      <c r="F46">
        <v>2</v>
      </c>
      <c r="G46" t="s">
        <v>50</v>
      </c>
      <c r="H46">
        <v>1</v>
      </c>
      <c r="I46" t="s">
        <v>66</v>
      </c>
      <c r="J46">
        <v>33513</v>
      </c>
      <c r="K46" t="s">
        <v>60</v>
      </c>
      <c r="L46" t="s">
        <v>26</v>
      </c>
      <c r="M46" t="s">
        <v>41</v>
      </c>
      <c r="N46" s="2">
        <v>45141</v>
      </c>
      <c r="O46" s="2">
        <v>45141.958333333336</v>
      </c>
      <c r="P46" t="s">
        <v>55</v>
      </c>
      <c r="Q46" t="s">
        <v>38</v>
      </c>
      <c r="R46" t="s">
        <v>43</v>
      </c>
      <c r="S46">
        <v>8</v>
      </c>
      <c r="T46">
        <v>10</v>
      </c>
      <c r="U46" t="s">
        <v>48</v>
      </c>
      <c r="V46" t="str">
        <f t="shared" si="0"/>
        <v>Mar-2023</v>
      </c>
      <c r="W46" s="16">
        <f>Table1[[#This Row],[Consultation Date]] - Table1[[#This Row],[Appointment Date]]</f>
        <v>0.95833333333575865</v>
      </c>
    </row>
    <row r="47" spans="1:23" x14ac:dyDescent="0.3">
      <c r="A47" t="s">
        <v>104</v>
      </c>
      <c r="B47">
        <v>39</v>
      </c>
      <c r="C47" t="s">
        <v>33</v>
      </c>
      <c r="D47" s="2">
        <v>44973</v>
      </c>
      <c r="E47" s="2">
        <v>44984</v>
      </c>
      <c r="F47">
        <v>11</v>
      </c>
      <c r="G47" t="s">
        <v>50</v>
      </c>
      <c r="H47">
        <v>5</v>
      </c>
      <c r="I47" t="s">
        <v>24</v>
      </c>
      <c r="J47">
        <v>7956</v>
      </c>
      <c r="K47" t="s">
        <v>53</v>
      </c>
      <c r="L47" t="s">
        <v>54</v>
      </c>
      <c r="M47" t="s">
        <v>41</v>
      </c>
      <c r="N47" s="2">
        <v>44970</v>
      </c>
      <c r="O47" s="2">
        <v>44971.5</v>
      </c>
      <c r="P47" t="s">
        <v>55</v>
      </c>
      <c r="Q47" t="s">
        <v>29</v>
      </c>
      <c r="R47" t="s">
        <v>30</v>
      </c>
      <c r="S47">
        <v>9</v>
      </c>
      <c r="T47">
        <v>10</v>
      </c>
      <c r="U47" t="s">
        <v>48</v>
      </c>
      <c r="V47" t="str">
        <f t="shared" si="0"/>
        <v>Feb-2023</v>
      </c>
      <c r="W47" s="16">
        <f>Table1[[#This Row],[Consultation Date]] - Table1[[#This Row],[Appointment Date]]</f>
        <v>1.5</v>
      </c>
    </row>
    <row r="48" spans="1:23" x14ac:dyDescent="0.3">
      <c r="A48" t="s">
        <v>105</v>
      </c>
      <c r="B48">
        <v>18</v>
      </c>
      <c r="C48" t="s">
        <v>52</v>
      </c>
      <c r="D48" s="2">
        <v>45160</v>
      </c>
      <c r="E48" s="2">
        <v>45166</v>
      </c>
      <c r="F48">
        <v>6</v>
      </c>
      <c r="G48" t="s">
        <v>23</v>
      </c>
      <c r="H48">
        <v>4</v>
      </c>
      <c r="I48" t="s">
        <v>66</v>
      </c>
      <c r="J48">
        <v>13077</v>
      </c>
      <c r="K48" t="s">
        <v>60</v>
      </c>
      <c r="L48" t="s">
        <v>54</v>
      </c>
      <c r="M48" t="s">
        <v>41</v>
      </c>
      <c r="N48" s="2">
        <v>45160</v>
      </c>
      <c r="O48" s="2">
        <v>45161.041666666664</v>
      </c>
      <c r="P48" t="s">
        <v>64</v>
      </c>
      <c r="Q48" t="s">
        <v>29</v>
      </c>
      <c r="R48" t="s">
        <v>30</v>
      </c>
      <c r="S48">
        <v>8</v>
      </c>
      <c r="T48">
        <v>10</v>
      </c>
      <c r="U48" t="s">
        <v>48</v>
      </c>
      <c r="V48" t="str">
        <f t="shared" si="0"/>
        <v>Aug-2023</v>
      </c>
      <c r="W48" s="16">
        <f>Table1[[#This Row],[Consultation Date]] - Table1[[#This Row],[Appointment Date]]</f>
        <v>1.0416666666642413</v>
      </c>
    </row>
    <row r="49" spans="1:23" x14ac:dyDescent="0.3">
      <c r="A49" t="s">
        <v>106</v>
      </c>
      <c r="B49">
        <v>4</v>
      </c>
      <c r="C49" t="s">
        <v>52</v>
      </c>
      <c r="D49" s="2">
        <v>45223</v>
      </c>
      <c r="E49" s="2">
        <v>44968</v>
      </c>
      <c r="F49">
        <v>9</v>
      </c>
      <c r="G49" t="s">
        <v>40</v>
      </c>
      <c r="H49">
        <v>4</v>
      </c>
      <c r="I49" t="s">
        <v>66</v>
      </c>
      <c r="J49">
        <v>41490</v>
      </c>
      <c r="K49" t="s">
        <v>36</v>
      </c>
      <c r="L49" t="s">
        <v>54</v>
      </c>
      <c r="M49" t="s">
        <v>27</v>
      </c>
      <c r="N49" s="2">
        <v>45218</v>
      </c>
      <c r="O49" s="2">
        <v>45219.166666666664</v>
      </c>
      <c r="P49" t="s">
        <v>42</v>
      </c>
      <c r="Q49" t="s">
        <v>29</v>
      </c>
      <c r="R49" t="s">
        <v>47</v>
      </c>
      <c r="S49">
        <v>6</v>
      </c>
      <c r="T49">
        <v>8</v>
      </c>
      <c r="U49" t="s">
        <v>68</v>
      </c>
      <c r="V49" t="str">
        <f t="shared" si="0"/>
        <v>Oct-2023</v>
      </c>
      <c r="W49" s="16">
        <f>Table1[[#This Row],[Consultation Date]] - Table1[[#This Row],[Appointment Date]]</f>
        <v>1.1666666666642413</v>
      </c>
    </row>
    <row r="50" spans="1:23" x14ac:dyDescent="0.3">
      <c r="A50" t="s">
        <v>107</v>
      </c>
      <c r="B50">
        <v>89</v>
      </c>
      <c r="C50" t="s">
        <v>62</v>
      </c>
      <c r="D50" s="2">
        <v>45008</v>
      </c>
      <c r="E50" s="2">
        <v>45111</v>
      </c>
      <c r="F50">
        <v>15</v>
      </c>
      <c r="G50" t="s">
        <v>57</v>
      </c>
      <c r="H50">
        <v>5</v>
      </c>
      <c r="I50" t="s">
        <v>46</v>
      </c>
      <c r="J50">
        <v>49827</v>
      </c>
      <c r="K50" t="s">
        <v>36</v>
      </c>
      <c r="L50" t="s">
        <v>54</v>
      </c>
      <c r="M50" t="s">
        <v>41</v>
      </c>
      <c r="N50" s="2">
        <v>45006</v>
      </c>
      <c r="O50" s="2">
        <v>45006.5</v>
      </c>
      <c r="P50" t="s">
        <v>55</v>
      </c>
      <c r="Q50" t="s">
        <v>29</v>
      </c>
      <c r="R50" t="s">
        <v>30</v>
      </c>
      <c r="S50">
        <v>6</v>
      </c>
      <c r="T50">
        <v>8</v>
      </c>
      <c r="U50" t="s">
        <v>68</v>
      </c>
      <c r="V50" t="str">
        <f t="shared" si="0"/>
        <v>Mar-2023</v>
      </c>
      <c r="W50" s="16">
        <f>Table1[[#This Row],[Consultation Date]] - Table1[[#This Row],[Appointment Date]]</f>
        <v>0.5</v>
      </c>
    </row>
    <row r="51" spans="1:23" x14ac:dyDescent="0.3">
      <c r="A51" t="s">
        <v>108</v>
      </c>
      <c r="B51">
        <v>60</v>
      </c>
      <c r="C51" t="s">
        <v>41</v>
      </c>
      <c r="D51" s="2">
        <v>45165</v>
      </c>
      <c r="E51" s="2">
        <v>45116</v>
      </c>
      <c r="F51">
        <v>11</v>
      </c>
      <c r="G51" t="s">
        <v>50</v>
      </c>
      <c r="H51">
        <v>1</v>
      </c>
      <c r="I51" t="s">
        <v>66</v>
      </c>
      <c r="J51">
        <v>42855</v>
      </c>
      <c r="K51" t="s">
        <v>60</v>
      </c>
      <c r="L51" t="s">
        <v>54</v>
      </c>
      <c r="M51" t="s">
        <v>27</v>
      </c>
      <c r="N51" s="2">
        <v>45160</v>
      </c>
      <c r="O51" s="2">
        <v>45161.833333333336</v>
      </c>
      <c r="P51" t="s">
        <v>55</v>
      </c>
      <c r="Q51" t="s">
        <v>29</v>
      </c>
      <c r="R51" t="s">
        <v>30</v>
      </c>
      <c r="S51">
        <v>11</v>
      </c>
      <c r="T51">
        <v>8</v>
      </c>
      <c r="U51" t="s">
        <v>48</v>
      </c>
      <c r="V51" t="str">
        <f t="shared" si="0"/>
        <v>Aug-2023</v>
      </c>
      <c r="W51" s="16">
        <f>Table1[[#This Row],[Consultation Date]] - Table1[[#This Row],[Appointment Date]]</f>
        <v>1.8333333333357587</v>
      </c>
    </row>
    <row r="52" spans="1:23" x14ac:dyDescent="0.3">
      <c r="A52" t="s">
        <v>109</v>
      </c>
      <c r="B52">
        <v>14</v>
      </c>
      <c r="C52" t="s">
        <v>45</v>
      </c>
      <c r="D52" s="2">
        <v>45030</v>
      </c>
      <c r="E52" s="2">
        <v>45036</v>
      </c>
      <c r="F52">
        <v>6</v>
      </c>
      <c r="G52" t="s">
        <v>57</v>
      </c>
      <c r="H52">
        <v>4</v>
      </c>
      <c r="I52" t="s">
        <v>66</v>
      </c>
      <c r="J52">
        <v>48106</v>
      </c>
      <c r="K52" t="s">
        <v>36</v>
      </c>
      <c r="L52" t="s">
        <v>26</v>
      </c>
      <c r="M52" t="s">
        <v>27</v>
      </c>
      <c r="N52" s="2">
        <v>45264</v>
      </c>
      <c r="O52" s="2">
        <v>45029.583333333336</v>
      </c>
      <c r="P52" t="s">
        <v>37</v>
      </c>
      <c r="Q52" t="s">
        <v>29</v>
      </c>
      <c r="R52" t="s">
        <v>43</v>
      </c>
      <c r="S52">
        <v>4</v>
      </c>
      <c r="T52">
        <v>12</v>
      </c>
      <c r="U52" t="s">
        <v>68</v>
      </c>
      <c r="V52" t="str">
        <f t="shared" si="0"/>
        <v>Apr-2023</v>
      </c>
      <c r="W52" s="16">
        <f>Table1[[#This Row],[Consultation Date]] - Table1[[#This Row],[Appointment Date]]</f>
        <v>-234.41666666666424</v>
      </c>
    </row>
    <row r="53" spans="1:23" x14ac:dyDescent="0.3">
      <c r="A53" t="s">
        <v>110</v>
      </c>
      <c r="B53">
        <v>9</v>
      </c>
      <c r="C53" t="s">
        <v>22</v>
      </c>
      <c r="D53" s="2">
        <v>45316</v>
      </c>
      <c r="E53" s="2">
        <v>45317</v>
      </c>
      <c r="F53">
        <v>1</v>
      </c>
      <c r="G53" t="s">
        <v>63</v>
      </c>
      <c r="H53">
        <v>3</v>
      </c>
      <c r="I53" t="s">
        <v>71</v>
      </c>
      <c r="J53">
        <v>39938</v>
      </c>
      <c r="K53" t="s">
        <v>67</v>
      </c>
      <c r="L53" t="s">
        <v>26</v>
      </c>
      <c r="M53" t="s">
        <v>27</v>
      </c>
      <c r="N53" s="2">
        <v>45311</v>
      </c>
      <c r="O53" s="2">
        <v>45312.791666666664</v>
      </c>
      <c r="P53" t="s">
        <v>37</v>
      </c>
      <c r="Q53" t="s">
        <v>29</v>
      </c>
      <c r="R53" t="s">
        <v>43</v>
      </c>
      <c r="S53">
        <v>10</v>
      </c>
      <c r="T53">
        <v>12</v>
      </c>
      <c r="U53" t="s">
        <v>31</v>
      </c>
      <c r="V53" t="str">
        <f t="shared" si="0"/>
        <v>Jan-2024</v>
      </c>
      <c r="W53" s="16">
        <f>Table1[[#This Row],[Consultation Date]] - Table1[[#This Row],[Appointment Date]]</f>
        <v>1.7916666666642413</v>
      </c>
    </row>
    <row r="54" spans="1:23" x14ac:dyDescent="0.3">
      <c r="A54" t="s">
        <v>111</v>
      </c>
      <c r="B54">
        <v>53</v>
      </c>
      <c r="C54" t="s">
        <v>45</v>
      </c>
      <c r="D54" s="2">
        <v>45270</v>
      </c>
      <c r="E54" s="2">
        <v>45218</v>
      </c>
      <c r="F54">
        <v>7</v>
      </c>
      <c r="G54" t="s">
        <v>57</v>
      </c>
      <c r="H54">
        <v>5</v>
      </c>
      <c r="I54" t="s">
        <v>24</v>
      </c>
      <c r="J54">
        <v>41159</v>
      </c>
      <c r="K54" t="s">
        <v>60</v>
      </c>
      <c r="L54" t="s">
        <v>54</v>
      </c>
      <c r="M54" t="s">
        <v>27</v>
      </c>
      <c r="N54" s="2">
        <v>45270</v>
      </c>
      <c r="O54" s="2">
        <v>45212.041666666664</v>
      </c>
      <c r="P54" t="s">
        <v>28</v>
      </c>
      <c r="Q54" t="s">
        <v>38</v>
      </c>
      <c r="R54" t="s">
        <v>47</v>
      </c>
      <c r="S54">
        <v>7</v>
      </c>
      <c r="T54">
        <v>12</v>
      </c>
      <c r="U54" t="s">
        <v>48</v>
      </c>
      <c r="V54" t="str">
        <f t="shared" si="0"/>
        <v>Dec-2023</v>
      </c>
      <c r="W54" s="16">
        <f>Table1[[#This Row],[Consultation Date]] - Table1[[#This Row],[Appointment Date]]</f>
        <v>-57.958333333335759</v>
      </c>
    </row>
    <row r="55" spans="1:23" x14ac:dyDescent="0.3">
      <c r="A55" t="s">
        <v>112</v>
      </c>
      <c r="B55">
        <v>2</v>
      </c>
      <c r="C55" t="s">
        <v>33</v>
      </c>
      <c r="D55" s="2">
        <v>45539</v>
      </c>
      <c r="E55" s="2">
        <v>45396</v>
      </c>
      <c r="F55">
        <v>5</v>
      </c>
      <c r="G55" t="s">
        <v>34</v>
      </c>
      <c r="H55">
        <v>2</v>
      </c>
      <c r="I55" t="s">
        <v>71</v>
      </c>
      <c r="J55">
        <v>44710</v>
      </c>
      <c r="K55" t="s">
        <v>67</v>
      </c>
      <c r="L55" t="s">
        <v>26</v>
      </c>
      <c r="M55" t="s">
        <v>27</v>
      </c>
      <c r="N55" s="2">
        <v>45416</v>
      </c>
      <c r="O55" s="2">
        <v>45416.25</v>
      </c>
      <c r="P55" t="s">
        <v>64</v>
      </c>
      <c r="Q55" t="s">
        <v>29</v>
      </c>
      <c r="R55" t="s">
        <v>43</v>
      </c>
      <c r="S55">
        <v>4</v>
      </c>
      <c r="T55">
        <v>10</v>
      </c>
      <c r="U55" t="s">
        <v>31</v>
      </c>
      <c r="V55" t="str">
        <f t="shared" si="0"/>
        <v>Sep-2024</v>
      </c>
      <c r="W55" s="16">
        <f>Table1[[#This Row],[Consultation Date]] - Table1[[#This Row],[Appointment Date]]</f>
        <v>0.25</v>
      </c>
    </row>
    <row r="56" spans="1:23" x14ac:dyDescent="0.3">
      <c r="A56" t="s">
        <v>113</v>
      </c>
      <c r="B56">
        <v>84</v>
      </c>
      <c r="C56" t="s">
        <v>22</v>
      </c>
      <c r="D56" s="2">
        <v>45536</v>
      </c>
      <c r="E56" s="2">
        <v>45304</v>
      </c>
      <c r="F56">
        <v>4</v>
      </c>
      <c r="G56" t="s">
        <v>34</v>
      </c>
      <c r="H56">
        <v>2</v>
      </c>
      <c r="I56" t="s">
        <v>71</v>
      </c>
      <c r="J56">
        <v>23000</v>
      </c>
      <c r="K56" t="s">
        <v>67</v>
      </c>
      <c r="L56" t="s">
        <v>26</v>
      </c>
      <c r="M56" t="s">
        <v>41</v>
      </c>
      <c r="N56" s="2">
        <v>45413</v>
      </c>
      <c r="O56" s="2">
        <v>45444.666666666664</v>
      </c>
      <c r="P56" t="s">
        <v>42</v>
      </c>
      <c r="Q56" t="s">
        <v>29</v>
      </c>
      <c r="R56" t="s">
        <v>30</v>
      </c>
      <c r="S56">
        <v>4</v>
      </c>
      <c r="T56">
        <v>10</v>
      </c>
      <c r="U56" t="s">
        <v>31</v>
      </c>
      <c r="V56" t="str">
        <f t="shared" si="0"/>
        <v>Sep-2024</v>
      </c>
      <c r="W56" s="16">
        <f>Table1[[#This Row],[Consultation Date]] - Table1[[#This Row],[Appointment Date]]</f>
        <v>31.666666666664241</v>
      </c>
    </row>
    <row r="57" spans="1:23" x14ac:dyDescent="0.3">
      <c r="A57" t="s">
        <v>114</v>
      </c>
      <c r="B57">
        <v>60</v>
      </c>
      <c r="C57" t="s">
        <v>62</v>
      </c>
      <c r="D57" s="2">
        <v>45093</v>
      </c>
      <c r="E57" s="2">
        <v>45095</v>
      </c>
      <c r="F57">
        <v>2</v>
      </c>
      <c r="G57" t="s">
        <v>57</v>
      </c>
      <c r="H57">
        <v>1</v>
      </c>
      <c r="I57" t="s">
        <v>35</v>
      </c>
      <c r="J57">
        <v>18806</v>
      </c>
      <c r="K57" t="s">
        <v>25</v>
      </c>
      <c r="L57" t="s">
        <v>54</v>
      </c>
      <c r="M57" t="s">
        <v>27</v>
      </c>
      <c r="N57" s="2">
        <v>45091</v>
      </c>
      <c r="O57" s="2">
        <v>45091.791666666664</v>
      </c>
      <c r="P57" t="s">
        <v>55</v>
      </c>
      <c r="Q57" t="s">
        <v>29</v>
      </c>
      <c r="R57" t="s">
        <v>30</v>
      </c>
      <c r="S57">
        <v>10</v>
      </c>
      <c r="T57">
        <v>10</v>
      </c>
      <c r="U57" t="s">
        <v>48</v>
      </c>
      <c r="V57" t="str">
        <f t="shared" si="0"/>
        <v>Jun-2023</v>
      </c>
      <c r="W57" s="16">
        <f>Table1[[#This Row],[Consultation Date]] - Table1[[#This Row],[Appointment Date]]</f>
        <v>0.79166666666424135</v>
      </c>
    </row>
    <row r="58" spans="1:23" x14ac:dyDescent="0.3">
      <c r="A58" t="s">
        <v>115</v>
      </c>
      <c r="B58">
        <v>71</v>
      </c>
      <c r="C58" t="s">
        <v>62</v>
      </c>
      <c r="D58" s="2">
        <v>45306</v>
      </c>
      <c r="E58" s="2">
        <v>45320</v>
      </c>
      <c r="F58">
        <v>14</v>
      </c>
      <c r="G58" t="s">
        <v>34</v>
      </c>
      <c r="H58">
        <v>3</v>
      </c>
      <c r="I58" t="s">
        <v>71</v>
      </c>
      <c r="J58">
        <v>17809</v>
      </c>
      <c r="K58" t="s">
        <v>60</v>
      </c>
      <c r="L58" t="s">
        <v>26</v>
      </c>
      <c r="M58" t="s">
        <v>41</v>
      </c>
      <c r="N58" s="2">
        <v>45304</v>
      </c>
      <c r="O58" s="2">
        <v>45304.666666666664</v>
      </c>
      <c r="P58" t="s">
        <v>55</v>
      </c>
      <c r="Q58" t="s">
        <v>29</v>
      </c>
      <c r="R58" t="s">
        <v>30</v>
      </c>
      <c r="S58">
        <v>11</v>
      </c>
      <c r="T58">
        <v>10</v>
      </c>
      <c r="U58" t="s">
        <v>31</v>
      </c>
      <c r="V58" t="str">
        <f t="shared" si="0"/>
        <v>Jan-2024</v>
      </c>
      <c r="W58" s="16">
        <f>Table1[[#This Row],[Consultation Date]] - Table1[[#This Row],[Appointment Date]]</f>
        <v>0.66666666666424135</v>
      </c>
    </row>
    <row r="59" spans="1:23" x14ac:dyDescent="0.3">
      <c r="A59" t="s">
        <v>116</v>
      </c>
      <c r="B59">
        <v>44</v>
      </c>
      <c r="C59" t="s">
        <v>41</v>
      </c>
      <c r="D59" s="2">
        <v>45290</v>
      </c>
      <c r="E59" s="2">
        <v>45304</v>
      </c>
      <c r="F59">
        <v>14</v>
      </c>
      <c r="G59" t="s">
        <v>63</v>
      </c>
      <c r="H59">
        <v>4</v>
      </c>
      <c r="I59" t="s">
        <v>46</v>
      </c>
      <c r="J59">
        <v>19855</v>
      </c>
      <c r="K59" t="s">
        <v>36</v>
      </c>
      <c r="L59" t="s">
        <v>26</v>
      </c>
      <c r="M59" t="s">
        <v>41</v>
      </c>
      <c r="N59" s="2">
        <v>45289</v>
      </c>
      <c r="O59" s="2">
        <v>45290.916666666664</v>
      </c>
      <c r="P59" t="s">
        <v>28</v>
      </c>
      <c r="Q59" t="s">
        <v>29</v>
      </c>
      <c r="R59" t="s">
        <v>43</v>
      </c>
      <c r="S59">
        <v>11</v>
      </c>
      <c r="T59">
        <v>10</v>
      </c>
      <c r="U59" t="s">
        <v>31</v>
      </c>
      <c r="V59" t="str">
        <f t="shared" si="0"/>
        <v>Dec-2023</v>
      </c>
      <c r="W59" s="16">
        <f>Table1[[#This Row],[Consultation Date]] - Table1[[#This Row],[Appointment Date]]</f>
        <v>1.9166666666642413</v>
      </c>
    </row>
    <row r="60" spans="1:23" x14ac:dyDescent="0.3">
      <c r="A60" t="s">
        <v>117</v>
      </c>
      <c r="B60">
        <v>8</v>
      </c>
      <c r="C60" t="s">
        <v>22</v>
      </c>
      <c r="D60" s="2">
        <v>44993</v>
      </c>
      <c r="E60" s="2">
        <v>45238</v>
      </c>
      <c r="F60">
        <v>8</v>
      </c>
      <c r="G60" t="s">
        <v>40</v>
      </c>
      <c r="H60">
        <v>2</v>
      </c>
      <c r="I60" t="s">
        <v>46</v>
      </c>
      <c r="J60">
        <v>46876</v>
      </c>
      <c r="K60" t="s">
        <v>67</v>
      </c>
      <c r="L60" t="s">
        <v>54</v>
      </c>
      <c r="M60" t="s">
        <v>27</v>
      </c>
      <c r="N60" s="2">
        <v>45136</v>
      </c>
      <c r="O60" s="2">
        <v>45136.208333333336</v>
      </c>
      <c r="P60" t="s">
        <v>55</v>
      </c>
      <c r="Q60" t="s">
        <v>29</v>
      </c>
      <c r="R60" t="s">
        <v>30</v>
      </c>
      <c r="S60">
        <v>10</v>
      </c>
      <c r="T60">
        <v>8</v>
      </c>
      <c r="U60" t="s">
        <v>31</v>
      </c>
      <c r="V60" t="str">
        <f t="shared" si="0"/>
        <v>Mar-2023</v>
      </c>
      <c r="W60" s="16">
        <f>Table1[[#This Row],[Consultation Date]] - Table1[[#This Row],[Appointment Date]]</f>
        <v>0.20833333333575865</v>
      </c>
    </row>
    <row r="61" spans="1:23" x14ac:dyDescent="0.3">
      <c r="A61" t="s">
        <v>118</v>
      </c>
      <c r="B61">
        <v>47</v>
      </c>
      <c r="C61" t="s">
        <v>52</v>
      </c>
      <c r="D61" s="2">
        <v>44936</v>
      </c>
      <c r="E61" s="2">
        <v>44995</v>
      </c>
      <c r="F61">
        <v>2</v>
      </c>
      <c r="G61" t="s">
        <v>34</v>
      </c>
      <c r="H61">
        <v>1</v>
      </c>
      <c r="I61" t="s">
        <v>35</v>
      </c>
      <c r="J61">
        <v>34388</v>
      </c>
      <c r="K61" t="s">
        <v>25</v>
      </c>
      <c r="L61" t="s">
        <v>54</v>
      </c>
      <c r="M61" t="s">
        <v>27</v>
      </c>
      <c r="N61" s="2">
        <v>45195</v>
      </c>
      <c r="O61" s="2">
        <v>45195.25</v>
      </c>
      <c r="P61" t="s">
        <v>64</v>
      </c>
      <c r="Q61" t="s">
        <v>29</v>
      </c>
      <c r="R61" t="s">
        <v>30</v>
      </c>
      <c r="S61">
        <v>6</v>
      </c>
      <c r="T61">
        <v>10</v>
      </c>
      <c r="U61" t="s">
        <v>48</v>
      </c>
      <c r="V61" t="str">
        <f t="shared" si="0"/>
        <v>Jan-2023</v>
      </c>
      <c r="W61" s="16">
        <f>Table1[[#This Row],[Consultation Date]] - Table1[[#This Row],[Appointment Date]]</f>
        <v>0.25</v>
      </c>
    </row>
    <row r="62" spans="1:23" x14ac:dyDescent="0.3">
      <c r="A62" t="s">
        <v>119</v>
      </c>
      <c r="B62">
        <v>35</v>
      </c>
      <c r="C62" t="s">
        <v>22</v>
      </c>
      <c r="D62" s="2">
        <v>45000</v>
      </c>
      <c r="E62" s="2">
        <v>45011</v>
      </c>
      <c r="F62">
        <v>11</v>
      </c>
      <c r="G62" t="s">
        <v>34</v>
      </c>
      <c r="H62">
        <v>3</v>
      </c>
      <c r="I62" t="s">
        <v>24</v>
      </c>
      <c r="J62">
        <v>11458</v>
      </c>
      <c r="K62" t="s">
        <v>60</v>
      </c>
      <c r="L62" t="s">
        <v>26</v>
      </c>
      <c r="M62" t="s">
        <v>27</v>
      </c>
      <c r="N62" s="2">
        <v>45202</v>
      </c>
      <c r="O62" s="2">
        <v>45202.75</v>
      </c>
      <c r="P62" t="s">
        <v>28</v>
      </c>
      <c r="Q62" t="s">
        <v>29</v>
      </c>
      <c r="R62" t="s">
        <v>47</v>
      </c>
      <c r="S62">
        <v>10</v>
      </c>
      <c r="T62">
        <v>8</v>
      </c>
      <c r="U62" t="s">
        <v>48</v>
      </c>
      <c r="V62" t="str">
        <f t="shared" si="0"/>
        <v>Mar-2023</v>
      </c>
      <c r="W62" s="16">
        <f>Table1[[#This Row],[Consultation Date]] - Table1[[#This Row],[Appointment Date]]</f>
        <v>0.75</v>
      </c>
    </row>
    <row r="63" spans="1:23" x14ac:dyDescent="0.3">
      <c r="A63" t="s">
        <v>120</v>
      </c>
      <c r="B63">
        <v>78</v>
      </c>
      <c r="C63" t="s">
        <v>33</v>
      </c>
      <c r="D63" s="2">
        <v>45102</v>
      </c>
      <c r="E63" s="2">
        <v>45106</v>
      </c>
      <c r="F63">
        <v>4</v>
      </c>
      <c r="G63" t="s">
        <v>57</v>
      </c>
      <c r="H63">
        <v>3</v>
      </c>
      <c r="I63" t="s">
        <v>24</v>
      </c>
      <c r="J63">
        <v>40524</v>
      </c>
      <c r="K63" t="s">
        <v>60</v>
      </c>
      <c r="L63" t="s">
        <v>54</v>
      </c>
      <c r="M63" t="s">
        <v>27</v>
      </c>
      <c r="N63" s="2">
        <v>45097</v>
      </c>
      <c r="O63" s="2">
        <v>45097.416666666664</v>
      </c>
      <c r="P63" t="s">
        <v>64</v>
      </c>
      <c r="Q63" t="s">
        <v>29</v>
      </c>
      <c r="R63" t="s">
        <v>47</v>
      </c>
      <c r="S63">
        <v>8</v>
      </c>
      <c r="T63">
        <v>12</v>
      </c>
      <c r="U63" t="s">
        <v>31</v>
      </c>
      <c r="V63" t="str">
        <f t="shared" si="0"/>
        <v>Jun-2023</v>
      </c>
      <c r="W63" s="16">
        <f>Table1[[#This Row],[Consultation Date]] - Table1[[#This Row],[Appointment Date]]</f>
        <v>0.41666666666424135</v>
      </c>
    </row>
    <row r="64" spans="1:23" x14ac:dyDescent="0.3">
      <c r="A64" t="s">
        <v>121</v>
      </c>
      <c r="B64">
        <v>81</v>
      </c>
      <c r="C64" t="s">
        <v>52</v>
      </c>
      <c r="D64" s="2">
        <v>45147</v>
      </c>
      <c r="E64" s="2">
        <v>45188</v>
      </c>
      <c r="F64">
        <v>11</v>
      </c>
      <c r="G64" t="s">
        <v>63</v>
      </c>
      <c r="H64">
        <v>1</v>
      </c>
      <c r="I64" t="s">
        <v>71</v>
      </c>
      <c r="J64">
        <v>11853</v>
      </c>
      <c r="K64" t="s">
        <v>53</v>
      </c>
      <c r="L64" t="s">
        <v>54</v>
      </c>
      <c r="M64" t="s">
        <v>27</v>
      </c>
      <c r="N64" s="2">
        <v>45116</v>
      </c>
      <c r="O64" s="2">
        <v>45147.041666666664</v>
      </c>
      <c r="P64" t="s">
        <v>28</v>
      </c>
      <c r="Q64" t="s">
        <v>29</v>
      </c>
      <c r="R64" t="s">
        <v>47</v>
      </c>
      <c r="S64">
        <v>6</v>
      </c>
      <c r="T64">
        <v>12</v>
      </c>
      <c r="U64" t="s">
        <v>48</v>
      </c>
      <c r="V64" t="str">
        <f t="shared" si="0"/>
        <v>Aug-2023</v>
      </c>
      <c r="W64" s="16">
        <f>Table1[[#This Row],[Consultation Date]] - Table1[[#This Row],[Appointment Date]]</f>
        <v>31.041666666664241</v>
      </c>
    </row>
    <row r="65" spans="1:23" x14ac:dyDescent="0.3">
      <c r="A65" t="s">
        <v>122</v>
      </c>
      <c r="B65">
        <v>36</v>
      </c>
      <c r="C65" t="s">
        <v>62</v>
      </c>
      <c r="D65" s="2">
        <v>45094</v>
      </c>
      <c r="E65" s="2">
        <v>45105</v>
      </c>
      <c r="F65">
        <v>11</v>
      </c>
      <c r="G65" t="s">
        <v>40</v>
      </c>
      <c r="H65">
        <v>1</v>
      </c>
      <c r="I65" t="s">
        <v>71</v>
      </c>
      <c r="J65">
        <v>45477</v>
      </c>
      <c r="K65" t="s">
        <v>53</v>
      </c>
      <c r="L65" t="s">
        <v>54</v>
      </c>
      <c r="M65" t="s">
        <v>41</v>
      </c>
      <c r="N65" s="2">
        <v>45092</v>
      </c>
      <c r="O65" s="2">
        <v>45093.916666666664</v>
      </c>
      <c r="P65" t="s">
        <v>55</v>
      </c>
      <c r="Q65" t="s">
        <v>29</v>
      </c>
      <c r="R65" t="s">
        <v>43</v>
      </c>
      <c r="S65">
        <v>10</v>
      </c>
      <c r="T65">
        <v>12</v>
      </c>
      <c r="U65" t="s">
        <v>48</v>
      </c>
      <c r="V65" t="str">
        <f t="shared" si="0"/>
        <v>Jun-2023</v>
      </c>
      <c r="W65" s="16">
        <f>Table1[[#This Row],[Consultation Date]] - Table1[[#This Row],[Appointment Date]]</f>
        <v>1.9166666666642413</v>
      </c>
    </row>
    <row r="66" spans="1:23" x14ac:dyDescent="0.3">
      <c r="A66" t="s">
        <v>123</v>
      </c>
      <c r="B66">
        <v>50</v>
      </c>
      <c r="C66" t="s">
        <v>22</v>
      </c>
      <c r="D66" s="2">
        <v>45400</v>
      </c>
      <c r="E66" s="2">
        <v>45410</v>
      </c>
      <c r="F66">
        <v>10</v>
      </c>
      <c r="G66" t="s">
        <v>57</v>
      </c>
      <c r="H66">
        <v>4</v>
      </c>
      <c r="I66" t="s">
        <v>71</v>
      </c>
      <c r="J66">
        <v>37222</v>
      </c>
      <c r="K66" t="s">
        <v>67</v>
      </c>
      <c r="L66" t="s">
        <v>54</v>
      </c>
      <c r="M66" t="s">
        <v>41</v>
      </c>
      <c r="N66" s="2">
        <v>45396</v>
      </c>
      <c r="O66" s="2">
        <v>45397.708333333336</v>
      </c>
      <c r="P66" t="s">
        <v>28</v>
      </c>
      <c r="Q66" t="s">
        <v>29</v>
      </c>
      <c r="R66" t="s">
        <v>30</v>
      </c>
      <c r="S66">
        <v>9</v>
      </c>
      <c r="T66">
        <v>12</v>
      </c>
      <c r="U66" t="s">
        <v>31</v>
      </c>
      <c r="V66" t="str">
        <f t="shared" ref="V66:V129" si="1">TEXT(D66,"mmm-yyyy")</f>
        <v>Apr-2024</v>
      </c>
      <c r="W66" s="16">
        <f>Table1[[#This Row],[Consultation Date]] - Table1[[#This Row],[Appointment Date]]</f>
        <v>1.7083333333357587</v>
      </c>
    </row>
    <row r="67" spans="1:23" x14ac:dyDescent="0.3">
      <c r="A67" t="s">
        <v>124</v>
      </c>
      <c r="B67">
        <v>4</v>
      </c>
      <c r="C67" t="s">
        <v>45</v>
      </c>
      <c r="D67" s="2">
        <v>45315</v>
      </c>
      <c r="E67" s="2">
        <v>45316</v>
      </c>
      <c r="F67">
        <v>1</v>
      </c>
      <c r="G67" t="s">
        <v>57</v>
      </c>
      <c r="H67">
        <v>1</v>
      </c>
      <c r="I67" t="s">
        <v>24</v>
      </c>
      <c r="J67">
        <v>23320</v>
      </c>
      <c r="K67" t="s">
        <v>53</v>
      </c>
      <c r="L67" t="s">
        <v>26</v>
      </c>
      <c r="M67" t="s">
        <v>41</v>
      </c>
      <c r="N67" s="2">
        <v>45314</v>
      </c>
      <c r="O67" s="2">
        <v>45314.416666666664</v>
      </c>
      <c r="P67" t="s">
        <v>37</v>
      </c>
      <c r="Q67" t="s">
        <v>29</v>
      </c>
      <c r="R67" t="s">
        <v>30</v>
      </c>
      <c r="S67">
        <v>6</v>
      </c>
      <c r="T67">
        <v>12</v>
      </c>
      <c r="U67" t="s">
        <v>48</v>
      </c>
      <c r="V67" t="str">
        <f t="shared" si="1"/>
        <v>Jan-2024</v>
      </c>
      <c r="W67" s="16">
        <f>Table1[[#This Row],[Consultation Date]] - Table1[[#This Row],[Appointment Date]]</f>
        <v>0.41666666666424135</v>
      </c>
    </row>
    <row r="68" spans="1:23" x14ac:dyDescent="0.3">
      <c r="A68" t="s">
        <v>125</v>
      </c>
      <c r="B68">
        <v>2</v>
      </c>
      <c r="C68" t="s">
        <v>41</v>
      </c>
      <c r="D68" s="2">
        <v>45026</v>
      </c>
      <c r="E68" s="2">
        <v>45056</v>
      </c>
      <c r="F68">
        <v>1</v>
      </c>
      <c r="G68" t="s">
        <v>23</v>
      </c>
      <c r="H68">
        <v>4</v>
      </c>
      <c r="I68" t="s">
        <v>66</v>
      </c>
      <c r="J68">
        <v>33618</v>
      </c>
      <c r="K68" t="s">
        <v>67</v>
      </c>
      <c r="L68" t="s">
        <v>54</v>
      </c>
      <c r="M68" t="s">
        <v>41</v>
      </c>
      <c r="N68" s="2">
        <v>45026</v>
      </c>
      <c r="O68" s="2">
        <v>45087</v>
      </c>
      <c r="P68" t="s">
        <v>42</v>
      </c>
      <c r="Q68" t="s">
        <v>29</v>
      </c>
      <c r="R68" t="s">
        <v>30</v>
      </c>
      <c r="S68">
        <v>6</v>
      </c>
      <c r="T68">
        <v>10</v>
      </c>
      <c r="U68" t="s">
        <v>68</v>
      </c>
      <c r="V68" t="str">
        <f t="shared" si="1"/>
        <v>Apr-2023</v>
      </c>
      <c r="W68" s="16">
        <f>Table1[[#This Row],[Consultation Date]] - Table1[[#This Row],[Appointment Date]]</f>
        <v>61</v>
      </c>
    </row>
    <row r="69" spans="1:23" x14ac:dyDescent="0.3">
      <c r="A69" t="s">
        <v>126</v>
      </c>
      <c r="B69">
        <v>6</v>
      </c>
      <c r="C69" t="s">
        <v>45</v>
      </c>
      <c r="D69" s="2">
        <v>45151</v>
      </c>
      <c r="E69" s="2">
        <v>45164</v>
      </c>
      <c r="F69">
        <v>13</v>
      </c>
      <c r="G69" t="s">
        <v>63</v>
      </c>
      <c r="H69">
        <v>4</v>
      </c>
      <c r="I69" t="s">
        <v>46</v>
      </c>
      <c r="J69">
        <v>22352</v>
      </c>
      <c r="K69" t="s">
        <v>36</v>
      </c>
      <c r="L69" t="s">
        <v>54</v>
      </c>
      <c r="M69" t="s">
        <v>27</v>
      </c>
      <c r="N69" s="2">
        <v>45268</v>
      </c>
      <c r="O69" s="2">
        <v>45151.041666666664</v>
      </c>
      <c r="P69" t="s">
        <v>55</v>
      </c>
      <c r="Q69" t="s">
        <v>29</v>
      </c>
      <c r="R69" t="s">
        <v>47</v>
      </c>
      <c r="S69">
        <v>4</v>
      </c>
      <c r="T69">
        <v>10</v>
      </c>
      <c r="U69" t="s">
        <v>48</v>
      </c>
      <c r="V69" t="str">
        <f t="shared" si="1"/>
        <v>Aug-2023</v>
      </c>
      <c r="W69" s="16">
        <f>Table1[[#This Row],[Consultation Date]] - Table1[[#This Row],[Appointment Date]]</f>
        <v>-116.95833333333576</v>
      </c>
    </row>
    <row r="70" spans="1:23" x14ac:dyDescent="0.3">
      <c r="A70" t="s">
        <v>127</v>
      </c>
      <c r="B70">
        <v>54</v>
      </c>
      <c r="C70" t="s">
        <v>41</v>
      </c>
      <c r="D70" s="2">
        <v>45259</v>
      </c>
      <c r="E70" s="2">
        <v>45058</v>
      </c>
      <c r="F70">
        <v>6</v>
      </c>
      <c r="G70" t="s">
        <v>40</v>
      </c>
      <c r="H70">
        <v>5</v>
      </c>
      <c r="I70" t="s">
        <v>66</v>
      </c>
      <c r="J70">
        <v>12297</v>
      </c>
      <c r="K70" t="s">
        <v>67</v>
      </c>
      <c r="L70" t="s">
        <v>26</v>
      </c>
      <c r="M70" t="s">
        <v>27</v>
      </c>
      <c r="N70" s="2">
        <v>45258</v>
      </c>
      <c r="O70" s="2">
        <v>45258.875</v>
      </c>
      <c r="P70" t="s">
        <v>42</v>
      </c>
      <c r="Q70" t="s">
        <v>29</v>
      </c>
      <c r="R70" t="s">
        <v>30</v>
      </c>
      <c r="S70">
        <v>7</v>
      </c>
      <c r="T70">
        <v>10</v>
      </c>
      <c r="U70" t="s">
        <v>68</v>
      </c>
      <c r="V70" t="str">
        <f t="shared" si="1"/>
        <v>Nov-2023</v>
      </c>
      <c r="W70" s="16">
        <f>Table1[[#This Row],[Consultation Date]] - Table1[[#This Row],[Appointment Date]]</f>
        <v>0.875</v>
      </c>
    </row>
    <row r="71" spans="1:23" x14ac:dyDescent="0.3">
      <c r="A71" t="s">
        <v>128</v>
      </c>
      <c r="B71">
        <v>4</v>
      </c>
      <c r="C71" t="s">
        <v>33</v>
      </c>
      <c r="D71" s="2">
        <v>44984</v>
      </c>
      <c r="E71" s="2">
        <v>44988</v>
      </c>
      <c r="F71">
        <v>4</v>
      </c>
      <c r="G71" t="s">
        <v>63</v>
      </c>
      <c r="H71">
        <v>3</v>
      </c>
      <c r="I71" t="s">
        <v>66</v>
      </c>
      <c r="J71">
        <v>32940</v>
      </c>
      <c r="K71" t="s">
        <v>53</v>
      </c>
      <c r="L71" t="s">
        <v>54</v>
      </c>
      <c r="M71" t="s">
        <v>41</v>
      </c>
      <c r="N71" s="2">
        <v>44983</v>
      </c>
      <c r="O71" s="2">
        <v>44984</v>
      </c>
      <c r="P71" t="s">
        <v>55</v>
      </c>
      <c r="Q71" t="s">
        <v>29</v>
      </c>
      <c r="R71" t="s">
        <v>30</v>
      </c>
      <c r="S71">
        <v>4</v>
      </c>
      <c r="T71">
        <v>12</v>
      </c>
      <c r="U71" t="s">
        <v>31</v>
      </c>
      <c r="V71" t="str">
        <f t="shared" si="1"/>
        <v>Feb-2023</v>
      </c>
      <c r="W71" s="16">
        <f>Table1[[#This Row],[Consultation Date]] - Table1[[#This Row],[Appointment Date]]</f>
        <v>1</v>
      </c>
    </row>
    <row r="72" spans="1:23" x14ac:dyDescent="0.3">
      <c r="A72" t="s">
        <v>129</v>
      </c>
      <c r="B72">
        <v>54</v>
      </c>
      <c r="C72" t="s">
        <v>45</v>
      </c>
      <c r="D72" s="2">
        <v>45161</v>
      </c>
      <c r="E72" s="2">
        <v>45164</v>
      </c>
      <c r="F72">
        <v>3</v>
      </c>
      <c r="G72" t="s">
        <v>40</v>
      </c>
      <c r="H72">
        <v>3</v>
      </c>
      <c r="I72" t="s">
        <v>24</v>
      </c>
      <c r="J72">
        <v>8203</v>
      </c>
      <c r="K72" t="s">
        <v>36</v>
      </c>
      <c r="L72" t="s">
        <v>54</v>
      </c>
      <c r="M72" t="s">
        <v>27</v>
      </c>
      <c r="N72" s="2">
        <v>45158</v>
      </c>
      <c r="O72" s="2">
        <v>45158.291666666664</v>
      </c>
      <c r="P72" t="s">
        <v>42</v>
      </c>
      <c r="Q72" t="s">
        <v>29</v>
      </c>
      <c r="R72" t="s">
        <v>30</v>
      </c>
      <c r="S72">
        <v>5</v>
      </c>
      <c r="T72">
        <v>12</v>
      </c>
      <c r="U72" t="s">
        <v>48</v>
      </c>
      <c r="V72" t="str">
        <f t="shared" si="1"/>
        <v>Aug-2023</v>
      </c>
      <c r="W72" s="16">
        <f>Table1[[#This Row],[Consultation Date]] - Table1[[#This Row],[Appointment Date]]</f>
        <v>0.29166666666424135</v>
      </c>
    </row>
    <row r="73" spans="1:23" x14ac:dyDescent="0.3">
      <c r="A73" t="s">
        <v>130</v>
      </c>
      <c r="B73">
        <v>63</v>
      </c>
      <c r="C73" t="s">
        <v>22</v>
      </c>
      <c r="D73" s="2">
        <v>44959</v>
      </c>
      <c r="E73" s="2">
        <v>44972</v>
      </c>
      <c r="F73">
        <v>13</v>
      </c>
      <c r="G73" t="s">
        <v>63</v>
      </c>
      <c r="H73">
        <v>3</v>
      </c>
      <c r="I73" t="s">
        <v>66</v>
      </c>
      <c r="J73">
        <v>44267</v>
      </c>
      <c r="K73" t="s">
        <v>53</v>
      </c>
      <c r="L73" t="s">
        <v>54</v>
      </c>
      <c r="M73" t="s">
        <v>27</v>
      </c>
      <c r="N73" s="2">
        <v>44959</v>
      </c>
      <c r="O73" s="2">
        <v>44959.25</v>
      </c>
      <c r="P73" t="s">
        <v>37</v>
      </c>
      <c r="Q73" t="s">
        <v>29</v>
      </c>
      <c r="R73" t="s">
        <v>30</v>
      </c>
      <c r="S73">
        <v>6</v>
      </c>
      <c r="T73">
        <v>8</v>
      </c>
      <c r="U73" t="s">
        <v>31</v>
      </c>
      <c r="V73" t="str">
        <f t="shared" si="1"/>
        <v>Feb-2023</v>
      </c>
      <c r="W73" s="16">
        <f>Table1[[#This Row],[Consultation Date]] - Table1[[#This Row],[Appointment Date]]</f>
        <v>0.25</v>
      </c>
    </row>
    <row r="74" spans="1:23" x14ac:dyDescent="0.3">
      <c r="A74" t="s">
        <v>131</v>
      </c>
      <c r="B74">
        <v>18</v>
      </c>
      <c r="C74" t="s">
        <v>22</v>
      </c>
      <c r="D74" s="2">
        <v>45250</v>
      </c>
      <c r="E74" s="2">
        <v>45260</v>
      </c>
      <c r="F74">
        <v>10</v>
      </c>
      <c r="G74" t="s">
        <v>57</v>
      </c>
      <c r="H74">
        <v>5</v>
      </c>
      <c r="I74" t="s">
        <v>35</v>
      </c>
      <c r="J74">
        <v>42941</v>
      </c>
      <c r="K74" t="s">
        <v>67</v>
      </c>
      <c r="L74" t="s">
        <v>26</v>
      </c>
      <c r="M74" t="s">
        <v>41</v>
      </c>
      <c r="N74" s="2">
        <v>45248</v>
      </c>
      <c r="O74" s="2">
        <v>45248.041666666664</v>
      </c>
      <c r="P74" t="s">
        <v>42</v>
      </c>
      <c r="Q74" t="s">
        <v>29</v>
      </c>
      <c r="R74" t="s">
        <v>30</v>
      </c>
      <c r="S74">
        <v>10</v>
      </c>
      <c r="T74">
        <v>10</v>
      </c>
      <c r="U74" t="s">
        <v>31</v>
      </c>
      <c r="V74" t="str">
        <f t="shared" si="1"/>
        <v>Nov-2023</v>
      </c>
      <c r="W74" s="16">
        <f>Table1[[#This Row],[Consultation Date]] - Table1[[#This Row],[Appointment Date]]</f>
        <v>4.1666666664241347E-2</v>
      </c>
    </row>
    <row r="75" spans="1:23" x14ac:dyDescent="0.3">
      <c r="A75" t="s">
        <v>132</v>
      </c>
      <c r="B75">
        <v>44</v>
      </c>
      <c r="C75" t="s">
        <v>45</v>
      </c>
      <c r="D75" s="2">
        <v>45337</v>
      </c>
      <c r="E75" s="2">
        <v>45341</v>
      </c>
      <c r="F75">
        <v>4</v>
      </c>
      <c r="G75" t="s">
        <v>57</v>
      </c>
      <c r="H75">
        <v>4</v>
      </c>
      <c r="I75" t="s">
        <v>71</v>
      </c>
      <c r="J75">
        <v>22273</v>
      </c>
      <c r="K75" t="s">
        <v>25</v>
      </c>
      <c r="L75" t="s">
        <v>54</v>
      </c>
      <c r="M75" t="s">
        <v>41</v>
      </c>
      <c r="N75" s="2">
        <v>45598</v>
      </c>
      <c r="O75" s="2">
        <v>45598.833333333336</v>
      </c>
      <c r="P75" t="s">
        <v>28</v>
      </c>
      <c r="Q75" t="s">
        <v>29</v>
      </c>
      <c r="R75" t="s">
        <v>43</v>
      </c>
      <c r="S75">
        <v>10</v>
      </c>
      <c r="T75">
        <v>12</v>
      </c>
      <c r="U75" t="s">
        <v>31</v>
      </c>
      <c r="V75" t="str">
        <f t="shared" si="1"/>
        <v>Feb-2024</v>
      </c>
      <c r="W75" s="16">
        <f>Table1[[#This Row],[Consultation Date]] - Table1[[#This Row],[Appointment Date]]</f>
        <v>0.83333333333575865</v>
      </c>
    </row>
    <row r="76" spans="1:23" x14ac:dyDescent="0.3">
      <c r="A76" t="s">
        <v>133</v>
      </c>
      <c r="B76">
        <v>34</v>
      </c>
      <c r="C76" t="s">
        <v>22</v>
      </c>
      <c r="D76" s="2">
        <v>44967</v>
      </c>
      <c r="E76" s="2">
        <v>45026</v>
      </c>
      <c r="F76">
        <v>2</v>
      </c>
      <c r="G76" t="s">
        <v>50</v>
      </c>
      <c r="H76">
        <v>4</v>
      </c>
      <c r="I76" t="s">
        <v>35</v>
      </c>
      <c r="J76">
        <v>30368</v>
      </c>
      <c r="K76" t="s">
        <v>60</v>
      </c>
      <c r="L76" t="s">
        <v>54</v>
      </c>
      <c r="M76" t="s">
        <v>41</v>
      </c>
      <c r="N76" s="2">
        <v>45197</v>
      </c>
      <c r="O76" s="2">
        <v>45198.208333333336</v>
      </c>
      <c r="P76" t="s">
        <v>42</v>
      </c>
      <c r="Q76" t="s">
        <v>29</v>
      </c>
      <c r="R76" t="s">
        <v>30</v>
      </c>
      <c r="S76">
        <v>10</v>
      </c>
      <c r="T76">
        <v>12</v>
      </c>
      <c r="U76" t="s">
        <v>31</v>
      </c>
      <c r="V76" t="str">
        <f t="shared" si="1"/>
        <v>Feb-2023</v>
      </c>
      <c r="W76" s="16">
        <f>Table1[[#This Row],[Consultation Date]] - Table1[[#This Row],[Appointment Date]]</f>
        <v>1.2083333333357587</v>
      </c>
    </row>
    <row r="77" spans="1:23" x14ac:dyDescent="0.3">
      <c r="A77" t="s">
        <v>134</v>
      </c>
      <c r="B77">
        <v>74</v>
      </c>
      <c r="C77" t="s">
        <v>33</v>
      </c>
      <c r="D77" s="2">
        <v>45172</v>
      </c>
      <c r="E77" s="2">
        <v>45008</v>
      </c>
      <c r="F77">
        <v>14</v>
      </c>
      <c r="G77" t="s">
        <v>34</v>
      </c>
      <c r="H77">
        <v>1</v>
      </c>
      <c r="I77" t="s">
        <v>46</v>
      </c>
      <c r="J77">
        <v>16650</v>
      </c>
      <c r="K77" t="s">
        <v>53</v>
      </c>
      <c r="L77" t="s">
        <v>54</v>
      </c>
      <c r="M77" t="s">
        <v>41</v>
      </c>
      <c r="N77" s="2">
        <v>45110</v>
      </c>
      <c r="O77" s="2">
        <v>45141</v>
      </c>
      <c r="P77" t="s">
        <v>55</v>
      </c>
      <c r="Q77" t="s">
        <v>29</v>
      </c>
      <c r="R77" t="s">
        <v>43</v>
      </c>
      <c r="S77">
        <v>6</v>
      </c>
      <c r="T77">
        <v>12</v>
      </c>
      <c r="U77" t="s">
        <v>31</v>
      </c>
      <c r="V77" t="str">
        <f t="shared" si="1"/>
        <v>Sep-2023</v>
      </c>
      <c r="W77" s="16">
        <f>Table1[[#This Row],[Consultation Date]] - Table1[[#This Row],[Appointment Date]]</f>
        <v>31</v>
      </c>
    </row>
    <row r="78" spans="1:23" x14ac:dyDescent="0.3">
      <c r="A78" t="s">
        <v>135</v>
      </c>
      <c r="B78">
        <v>62</v>
      </c>
      <c r="C78" t="s">
        <v>52</v>
      </c>
      <c r="D78" s="2">
        <v>45054</v>
      </c>
      <c r="E78" s="2">
        <v>45156</v>
      </c>
      <c r="F78">
        <v>13</v>
      </c>
      <c r="G78" t="s">
        <v>23</v>
      </c>
      <c r="H78">
        <v>5</v>
      </c>
      <c r="I78" t="s">
        <v>71</v>
      </c>
      <c r="J78">
        <v>35984</v>
      </c>
      <c r="K78" t="s">
        <v>67</v>
      </c>
      <c r="L78" t="s">
        <v>54</v>
      </c>
      <c r="M78" t="s">
        <v>41</v>
      </c>
      <c r="N78" s="2">
        <v>44965</v>
      </c>
      <c r="O78" s="2">
        <v>44965.75</v>
      </c>
      <c r="P78" t="s">
        <v>64</v>
      </c>
      <c r="Q78" t="s">
        <v>29</v>
      </c>
      <c r="R78" t="s">
        <v>30</v>
      </c>
      <c r="S78">
        <v>10</v>
      </c>
      <c r="T78">
        <v>8</v>
      </c>
      <c r="U78" t="s">
        <v>48</v>
      </c>
      <c r="V78" t="str">
        <f t="shared" si="1"/>
        <v>May-2023</v>
      </c>
      <c r="W78" s="16">
        <f>Table1[[#This Row],[Consultation Date]] - Table1[[#This Row],[Appointment Date]]</f>
        <v>0.75</v>
      </c>
    </row>
    <row r="79" spans="1:23" x14ac:dyDescent="0.3">
      <c r="A79" t="s">
        <v>136</v>
      </c>
      <c r="B79">
        <v>14</v>
      </c>
      <c r="C79" t="s">
        <v>33</v>
      </c>
      <c r="D79" s="2">
        <v>45249</v>
      </c>
      <c r="E79" s="2">
        <v>45258</v>
      </c>
      <c r="F79">
        <v>9</v>
      </c>
      <c r="G79" t="s">
        <v>63</v>
      </c>
      <c r="H79">
        <v>1</v>
      </c>
      <c r="I79" t="s">
        <v>66</v>
      </c>
      <c r="J79">
        <v>46941</v>
      </c>
      <c r="K79" t="s">
        <v>36</v>
      </c>
      <c r="L79" t="s">
        <v>54</v>
      </c>
      <c r="M79" t="s">
        <v>27</v>
      </c>
      <c r="N79" s="2">
        <v>45245</v>
      </c>
      <c r="O79" s="2">
        <v>45245.291666666664</v>
      </c>
      <c r="P79" t="s">
        <v>42</v>
      </c>
      <c r="Q79" t="s">
        <v>29</v>
      </c>
      <c r="R79" t="s">
        <v>43</v>
      </c>
      <c r="S79">
        <v>5</v>
      </c>
      <c r="T79">
        <v>12</v>
      </c>
      <c r="U79" t="s">
        <v>68</v>
      </c>
      <c r="V79" t="str">
        <f t="shared" si="1"/>
        <v>Nov-2023</v>
      </c>
      <c r="W79" s="16">
        <f>Table1[[#This Row],[Consultation Date]] - Table1[[#This Row],[Appointment Date]]</f>
        <v>0.29166666666424135</v>
      </c>
    </row>
    <row r="80" spans="1:23" x14ac:dyDescent="0.3">
      <c r="A80" t="s">
        <v>137</v>
      </c>
      <c r="B80">
        <v>48</v>
      </c>
      <c r="C80" t="s">
        <v>41</v>
      </c>
      <c r="D80" s="2">
        <v>45085</v>
      </c>
      <c r="E80" s="2">
        <v>45207</v>
      </c>
      <c r="F80">
        <v>4</v>
      </c>
      <c r="G80" t="s">
        <v>23</v>
      </c>
      <c r="H80">
        <v>5</v>
      </c>
      <c r="I80" t="s">
        <v>46</v>
      </c>
      <c r="J80">
        <v>12382</v>
      </c>
      <c r="K80" t="s">
        <v>53</v>
      </c>
      <c r="L80" t="s">
        <v>54</v>
      </c>
      <c r="M80" t="s">
        <v>41</v>
      </c>
      <c r="N80" s="2">
        <v>45054</v>
      </c>
      <c r="O80" s="2">
        <v>45054.375</v>
      </c>
      <c r="P80" t="s">
        <v>42</v>
      </c>
      <c r="Q80" t="s">
        <v>29</v>
      </c>
      <c r="R80" t="s">
        <v>30</v>
      </c>
      <c r="S80">
        <v>6</v>
      </c>
      <c r="T80">
        <v>8</v>
      </c>
      <c r="U80" t="s">
        <v>48</v>
      </c>
      <c r="V80" t="str">
        <f t="shared" si="1"/>
        <v>Jun-2023</v>
      </c>
      <c r="W80" s="16">
        <f>Table1[[#This Row],[Consultation Date]] - Table1[[#This Row],[Appointment Date]]</f>
        <v>0.375</v>
      </c>
    </row>
    <row r="81" spans="1:23" x14ac:dyDescent="0.3">
      <c r="A81" t="s">
        <v>138</v>
      </c>
      <c r="B81">
        <v>15</v>
      </c>
      <c r="C81" t="s">
        <v>33</v>
      </c>
      <c r="D81" s="2">
        <v>45438</v>
      </c>
      <c r="E81" s="2">
        <v>45418</v>
      </c>
      <c r="F81">
        <v>10</v>
      </c>
      <c r="G81" t="s">
        <v>50</v>
      </c>
      <c r="H81">
        <v>1</v>
      </c>
      <c r="I81" t="s">
        <v>71</v>
      </c>
      <c r="J81">
        <v>5801</v>
      </c>
      <c r="K81" t="s">
        <v>53</v>
      </c>
      <c r="L81" t="s">
        <v>26</v>
      </c>
      <c r="M81" t="s">
        <v>27</v>
      </c>
      <c r="N81" s="2">
        <v>45434</v>
      </c>
      <c r="O81" s="2">
        <v>45434.25</v>
      </c>
      <c r="P81" t="s">
        <v>42</v>
      </c>
      <c r="Q81" t="s">
        <v>29</v>
      </c>
      <c r="R81" t="s">
        <v>30</v>
      </c>
      <c r="S81">
        <v>10</v>
      </c>
      <c r="T81">
        <v>8</v>
      </c>
      <c r="U81" t="s">
        <v>48</v>
      </c>
      <c r="V81" t="str">
        <f t="shared" si="1"/>
        <v>May-2024</v>
      </c>
      <c r="W81" s="16">
        <f>Table1[[#This Row],[Consultation Date]] - Table1[[#This Row],[Appointment Date]]</f>
        <v>0.25</v>
      </c>
    </row>
    <row r="82" spans="1:23" x14ac:dyDescent="0.3">
      <c r="A82" t="s">
        <v>139</v>
      </c>
      <c r="B82">
        <v>72</v>
      </c>
      <c r="C82" t="s">
        <v>41</v>
      </c>
      <c r="D82" s="2">
        <v>45567</v>
      </c>
      <c r="E82" s="2">
        <v>45336</v>
      </c>
      <c r="F82">
        <v>4</v>
      </c>
      <c r="G82" t="s">
        <v>34</v>
      </c>
      <c r="H82">
        <v>2</v>
      </c>
      <c r="I82" t="s">
        <v>66</v>
      </c>
      <c r="J82">
        <v>46002</v>
      </c>
      <c r="K82" t="s">
        <v>60</v>
      </c>
      <c r="L82" t="s">
        <v>54</v>
      </c>
      <c r="M82" t="s">
        <v>27</v>
      </c>
      <c r="N82" s="2">
        <v>45567</v>
      </c>
      <c r="O82" s="2">
        <v>45567.5</v>
      </c>
      <c r="P82" t="s">
        <v>55</v>
      </c>
      <c r="Q82" t="s">
        <v>29</v>
      </c>
      <c r="R82" t="s">
        <v>30</v>
      </c>
      <c r="S82">
        <v>6</v>
      </c>
      <c r="T82">
        <v>10</v>
      </c>
      <c r="U82" t="s">
        <v>48</v>
      </c>
      <c r="V82" t="str">
        <f t="shared" si="1"/>
        <v>Oct-2024</v>
      </c>
      <c r="W82" s="16">
        <f>Table1[[#This Row],[Consultation Date]] - Table1[[#This Row],[Appointment Date]]</f>
        <v>0.5</v>
      </c>
    </row>
    <row r="83" spans="1:23" x14ac:dyDescent="0.3">
      <c r="A83" t="s">
        <v>140</v>
      </c>
      <c r="B83">
        <v>78</v>
      </c>
      <c r="C83" t="s">
        <v>22</v>
      </c>
      <c r="D83" s="2">
        <v>45396</v>
      </c>
      <c r="E83" s="2">
        <v>45410</v>
      </c>
      <c r="F83">
        <v>14</v>
      </c>
      <c r="G83" t="s">
        <v>63</v>
      </c>
      <c r="H83">
        <v>3</v>
      </c>
      <c r="I83" t="s">
        <v>35</v>
      </c>
      <c r="J83">
        <v>24733</v>
      </c>
      <c r="K83" t="s">
        <v>67</v>
      </c>
      <c r="L83" t="s">
        <v>26</v>
      </c>
      <c r="M83" t="s">
        <v>27</v>
      </c>
      <c r="N83" s="2">
        <v>45396</v>
      </c>
      <c r="O83" s="2">
        <v>45397.166666666664</v>
      </c>
      <c r="P83" t="s">
        <v>42</v>
      </c>
      <c r="Q83" t="s">
        <v>29</v>
      </c>
      <c r="R83" t="s">
        <v>30</v>
      </c>
      <c r="S83">
        <v>9</v>
      </c>
      <c r="T83">
        <v>12</v>
      </c>
      <c r="U83" t="s">
        <v>48</v>
      </c>
      <c r="V83" t="str">
        <f t="shared" si="1"/>
        <v>Apr-2024</v>
      </c>
      <c r="W83" s="16">
        <f>Table1[[#This Row],[Consultation Date]] - Table1[[#This Row],[Appointment Date]]</f>
        <v>1.1666666666642413</v>
      </c>
    </row>
    <row r="84" spans="1:23" x14ac:dyDescent="0.3">
      <c r="A84" t="s">
        <v>141</v>
      </c>
      <c r="B84">
        <v>87</v>
      </c>
      <c r="C84" t="s">
        <v>52</v>
      </c>
      <c r="D84" s="2">
        <v>45073</v>
      </c>
      <c r="E84" s="2">
        <v>45205</v>
      </c>
      <c r="F84">
        <v>14</v>
      </c>
      <c r="G84" t="s">
        <v>40</v>
      </c>
      <c r="H84">
        <v>3</v>
      </c>
      <c r="I84" t="s">
        <v>71</v>
      </c>
      <c r="J84">
        <v>14969</v>
      </c>
      <c r="K84" t="s">
        <v>25</v>
      </c>
      <c r="L84" t="s">
        <v>54</v>
      </c>
      <c r="M84" t="s">
        <v>27</v>
      </c>
      <c r="N84" s="2">
        <v>45071</v>
      </c>
      <c r="O84" s="2">
        <v>45072.208333333336</v>
      </c>
      <c r="P84" t="s">
        <v>55</v>
      </c>
      <c r="Q84" t="s">
        <v>29</v>
      </c>
      <c r="R84" t="s">
        <v>47</v>
      </c>
      <c r="S84">
        <v>6</v>
      </c>
      <c r="T84">
        <v>8</v>
      </c>
      <c r="U84" t="s">
        <v>68</v>
      </c>
      <c r="V84" t="str">
        <f t="shared" si="1"/>
        <v>May-2023</v>
      </c>
      <c r="W84" s="16">
        <f>Table1[[#This Row],[Consultation Date]] - Table1[[#This Row],[Appointment Date]]</f>
        <v>1.2083333333357587</v>
      </c>
    </row>
    <row r="85" spans="1:23" x14ac:dyDescent="0.3">
      <c r="A85" t="s">
        <v>142</v>
      </c>
      <c r="B85">
        <v>62</v>
      </c>
      <c r="C85" t="s">
        <v>22</v>
      </c>
      <c r="D85" s="2">
        <v>45198</v>
      </c>
      <c r="E85" s="2">
        <v>44995</v>
      </c>
      <c r="F85">
        <v>4</v>
      </c>
      <c r="G85" t="s">
        <v>34</v>
      </c>
      <c r="H85">
        <v>4</v>
      </c>
      <c r="I85" t="s">
        <v>66</v>
      </c>
      <c r="J85">
        <v>40969</v>
      </c>
      <c r="K85" t="s">
        <v>36</v>
      </c>
      <c r="L85" t="s">
        <v>26</v>
      </c>
      <c r="M85" t="s">
        <v>41</v>
      </c>
      <c r="N85" s="2">
        <v>45195</v>
      </c>
      <c r="O85" s="2">
        <v>45196.5</v>
      </c>
      <c r="P85" t="s">
        <v>55</v>
      </c>
      <c r="Q85" t="s">
        <v>29</v>
      </c>
      <c r="R85" t="s">
        <v>30</v>
      </c>
      <c r="S85">
        <v>5</v>
      </c>
      <c r="T85">
        <v>12</v>
      </c>
      <c r="U85" t="s">
        <v>48</v>
      </c>
      <c r="V85" t="str">
        <f t="shared" si="1"/>
        <v>Sep-2023</v>
      </c>
      <c r="W85" s="16">
        <f>Table1[[#This Row],[Consultation Date]] - Table1[[#This Row],[Appointment Date]]</f>
        <v>1.5</v>
      </c>
    </row>
    <row r="86" spans="1:23" x14ac:dyDescent="0.3">
      <c r="A86" t="s">
        <v>143</v>
      </c>
      <c r="B86">
        <v>40</v>
      </c>
      <c r="C86" t="s">
        <v>62</v>
      </c>
      <c r="D86" s="2">
        <v>45069</v>
      </c>
      <c r="E86" s="2">
        <v>45075</v>
      </c>
      <c r="F86">
        <v>6</v>
      </c>
      <c r="G86" t="s">
        <v>57</v>
      </c>
      <c r="H86">
        <v>2</v>
      </c>
      <c r="I86" t="s">
        <v>35</v>
      </c>
      <c r="J86">
        <v>21733</v>
      </c>
      <c r="K86" t="s">
        <v>67</v>
      </c>
      <c r="L86" t="s">
        <v>54</v>
      </c>
      <c r="M86" t="s">
        <v>27</v>
      </c>
      <c r="N86" s="2">
        <v>45064</v>
      </c>
      <c r="O86" s="2">
        <v>45065.5</v>
      </c>
      <c r="P86" t="s">
        <v>64</v>
      </c>
      <c r="Q86" t="s">
        <v>29</v>
      </c>
      <c r="R86" t="s">
        <v>43</v>
      </c>
      <c r="S86">
        <v>4</v>
      </c>
      <c r="T86">
        <v>10</v>
      </c>
      <c r="U86" t="s">
        <v>31</v>
      </c>
      <c r="V86" t="str">
        <f t="shared" si="1"/>
        <v>May-2023</v>
      </c>
      <c r="W86" s="16">
        <f>Table1[[#This Row],[Consultation Date]] - Table1[[#This Row],[Appointment Date]]</f>
        <v>1.5</v>
      </c>
    </row>
    <row r="87" spans="1:23" x14ac:dyDescent="0.3">
      <c r="A87" t="s">
        <v>144</v>
      </c>
      <c r="B87">
        <v>85</v>
      </c>
      <c r="C87" t="s">
        <v>22</v>
      </c>
      <c r="D87" s="2">
        <v>45208</v>
      </c>
      <c r="E87" s="2">
        <v>45192</v>
      </c>
      <c r="F87">
        <v>13</v>
      </c>
      <c r="G87" t="s">
        <v>50</v>
      </c>
      <c r="H87">
        <v>3</v>
      </c>
      <c r="I87" t="s">
        <v>46</v>
      </c>
      <c r="J87">
        <v>37449</v>
      </c>
      <c r="K87" t="s">
        <v>36</v>
      </c>
      <c r="L87" t="s">
        <v>26</v>
      </c>
      <c r="M87" t="s">
        <v>27</v>
      </c>
      <c r="N87" s="2">
        <v>45055</v>
      </c>
      <c r="O87" s="2">
        <v>45086.375</v>
      </c>
      <c r="P87" t="s">
        <v>28</v>
      </c>
      <c r="Q87" t="s">
        <v>29</v>
      </c>
      <c r="R87" t="s">
        <v>47</v>
      </c>
      <c r="S87">
        <v>6</v>
      </c>
      <c r="T87">
        <v>10</v>
      </c>
      <c r="U87" t="s">
        <v>48</v>
      </c>
      <c r="V87" t="str">
        <f t="shared" si="1"/>
        <v>Oct-2023</v>
      </c>
      <c r="W87" s="16">
        <f>Table1[[#This Row],[Consultation Date]] - Table1[[#This Row],[Appointment Date]]</f>
        <v>31.375</v>
      </c>
    </row>
    <row r="88" spans="1:23" x14ac:dyDescent="0.3">
      <c r="A88" t="s">
        <v>145</v>
      </c>
      <c r="B88">
        <v>80</v>
      </c>
      <c r="C88" t="s">
        <v>41</v>
      </c>
      <c r="D88" s="2">
        <v>45196</v>
      </c>
      <c r="E88" s="2">
        <v>45199</v>
      </c>
      <c r="F88">
        <v>3</v>
      </c>
      <c r="G88" t="s">
        <v>34</v>
      </c>
      <c r="H88">
        <v>4</v>
      </c>
      <c r="I88" t="s">
        <v>46</v>
      </c>
      <c r="J88">
        <v>31143</v>
      </c>
      <c r="K88" t="s">
        <v>53</v>
      </c>
      <c r="L88" t="s">
        <v>54</v>
      </c>
      <c r="M88" t="s">
        <v>41</v>
      </c>
      <c r="N88" s="2">
        <v>45193</v>
      </c>
      <c r="O88" s="2">
        <v>45194.125</v>
      </c>
      <c r="P88" t="s">
        <v>55</v>
      </c>
      <c r="Q88" t="s">
        <v>29</v>
      </c>
      <c r="R88" t="s">
        <v>47</v>
      </c>
      <c r="S88">
        <v>7</v>
      </c>
      <c r="T88">
        <v>8</v>
      </c>
      <c r="U88" t="s">
        <v>48</v>
      </c>
      <c r="V88" t="str">
        <f t="shared" si="1"/>
        <v>Sep-2023</v>
      </c>
      <c r="W88" s="16">
        <f>Table1[[#This Row],[Consultation Date]] - Table1[[#This Row],[Appointment Date]]</f>
        <v>1.125</v>
      </c>
    </row>
    <row r="89" spans="1:23" x14ac:dyDescent="0.3">
      <c r="A89" t="s">
        <v>146</v>
      </c>
      <c r="B89">
        <v>82</v>
      </c>
      <c r="C89" t="s">
        <v>22</v>
      </c>
      <c r="D89" s="2">
        <v>45365</v>
      </c>
      <c r="E89" s="2">
        <v>45378</v>
      </c>
      <c r="F89">
        <v>13</v>
      </c>
      <c r="G89" t="s">
        <v>34</v>
      </c>
      <c r="H89">
        <v>2</v>
      </c>
      <c r="I89" t="s">
        <v>46</v>
      </c>
      <c r="J89">
        <v>30705</v>
      </c>
      <c r="K89" t="s">
        <v>60</v>
      </c>
      <c r="L89" t="s">
        <v>54</v>
      </c>
      <c r="M89" t="s">
        <v>41</v>
      </c>
      <c r="N89" s="2">
        <v>45568</v>
      </c>
      <c r="O89" s="2">
        <v>45568.291666666664</v>
      </c>
      <c r="P89" t="s">
        <v>37</v>
      </c>
      <c r="Q89" t="s">
        <v>29</v>
      </c>
      <c r="R89" t="s">
        <v>30</v>
      </c>
      <c r="S89">
        <v>5</v>
      </c>
      <c r="T89">
        <v>10</v>
      </c>
      <c r="U89" t="s">
        <v>68</v>
      </c>
      <c r="V89" t="str">
        <f t="shared" si="1"/>
        <v>Mar-2024</v>
      </c>
      <c r="W89" s="16">
        <f>Table1[[#This Row],[Consultation Date]] - Table1[[#This Row],[Appointment Date]]</f>
        <v>0.29166666666424135</v>
      </c>
    </row>
    <row r="90" spans="1:23" x14ac:dyDescent="0.3">
      <c r="A90" t="s">
        <v>147</v>
      </c>
      <c r="B90">
        <v>53</v>
      </c>
      <c r="C90" t="s">
        <v>22</v>
      </c>
      <c r="D90" s="2">
        <v>45335</v>
      </c>
      <c r="E90" s="2">
        <v>45350</v>
      </c>
      <c r="F90">
        <v>15</v>
      </c>
      <c r="G90" t="s">
        <v>57</v>
      </c>
      <c r="H90">
        <v>3</v>
      </c>
      <c r="I90" t="s">
        <v>46</v>
      </c>
      <c r="J90">
        <v>33363</v>
      </c>
      <c r="K90" t="s">
        <v>60</v>
      </c>
      <c r="L90" t="s">
        <v>54</v>
      </c>
      <c r="M90" t="s">
        <v>27</v>
      </c>
      <c r="N90" s="2">
        <v>45567</v>
      </c>
      <c r="O90" s="2">
        <v>45567.083333333336</v>
      </c>
      <c r="P90" t="s">
        <v>42</v>
      </c>
      <c r="Q90" t="s">
        <v>29</v>
      </c>
      <c r="R90" t="s">
        <v>43</v>
      </c>
      <c r="S90">
        <v>8</v>
      </c>
      <c r="T90">
        <v>10</v>
      </c>
      <c r="U90" t="s">
        <v>68</v>
      </c>
      <c r="V90" t="str">
        <f t="shared" si="1"/>
        <v>Feb-2024</v>
      </c>
      <c r="W90" s="16">
        <f>Table1[[#This Row],[Consultation Date]] - Table1[[#This Row],[Appointment Date]]</f>
        <v>8.3333333335758653E-2</v>
      </c>
    </row>
    <row r="91" spans="1:23" x14ac:dyDescent="0.3">
      <c r="A91" t="s">
        <v>148</v>
      </c>
      <c r="B91">
        <v>24</v>
      </c>
      <c r="C91" t="s">
        <v>52</v>
      </c>
      <c r="D91" s="2">
        <v>45444</v>
      </c>
      <c r="E91" s="2">
        <v>45307</v>
      </c>
      <c r="F91">
        <v>10</v>
      </c>
      <c r="G91" t="s">
        <v>63</v>
      </c>
      <c r="H91">
        <v>1</v>
      </c>
      <c r="I91" t="s">
        <v>24</v>
      </c>
      <c r="J91">
        <v>35720</v>
      </c>
      <c r="K91" t="s">
        <v>25</v>
      </c>
      <c r="L91" t="s">
        <v>26</v>
      </c>
      <c r="M91" t="s">
        <v>27</v>
      </c>
      <c r="N91" s="2">
        <v>45352</v>
      </c>
      <c r="O91" s="2">
        <v>45352.25</v>
      </c>
      <c r="P91" t="s">
        <v>37</v>
      </c>
      <c r="Q91" t="s">
        <v>29</v>
      </c>
      <c r="R91" t="s">
        <v>43</v>
      </c>
      <c r="S91">
        <v>9</v>
      </c>
      <c r="T91">
        <v>10</v>
      </c>
      <c r="U91" t="s">
        <v>31</v>
      </c>
      <c r="V91" t="str">
        <f t="shared" si="1"/>
        <v>Jun-2024</v>
      </c>
      <c r="W91" s="16">
        <f>Table1[[#This Row],[Consultation Date]] - Table1[[#This Row],[Appointment Date]]</f>
        <v>0.25</v>
      </c>
    </row>
    <row r="92" spans="1:23" x14ac:dyDescent="0.3">
      <c r="A92" t="s">
        <v>149</v>
      </c>
      <c r="B92">
        <v>26</v>
      </c>
      <c r="C92" t="s">
        <v>22</v>
      </c>
      <c r="D92" s="2">
        <v>45151</v>
      </c>
      <c r="E92" s="2">
        <v>45152</v>
      </c>
      <c r="F92">
        <v>1</v>
      </c>
      <c r="G92" t="s">
        <v>40</v>
      </c>
      <c r="H92">
        <v>5</v>
      </c>
      <c r="I92" t="s">
        <v>71</v>
      </c>
      <c r="J92">
        <v>14972</v>
      </c>
      <c r="K92" t="s">
        <v>60</v>
      </c>
      <c r="L92" t="s">
        <v>54</v>
      </c>
      <c r="M92" t="s">
        <v>27</v>
      </c>
      <c r="N92" s="2">
        <v>45177</v>
      </c>
      <c r="O92" s="2">
        <v>45177.958333333336</v>
      </c>
      <c r="P92" t="s">
        <v>42</v>
      </c>
      <c r="Q92" t="s">
        <v>29</v>
      </c>
      <c r="R92" t="s">
        <v>47</v>
      </c>
      <c r="S92">
        <v>5</v>
      </c>
      <c r="T92">
        <v>12</v>
      </c>
      <c r="U92" t="s">
        <v>48</v>
      </c>
      <c r="V92" t="str">
        <f t="shared" si="1"/>
        <v>Aug-2023</v>
      </c>
      <c r="W92" s="16">
        <f>Table1[[#This Row],[Consultation Date]] - Table1[[#This Row],[Appointment Date]]</f>
        <v>0.95833333333575865</v>
      </c>
    </row>
    <row r="93" spans="1:23" x14ac:dyDescent="0.3">
      <c r="A93" t="s">
        <v>150</v>
      </c>
      <c r="B93">
        <v>89</v>
      </c>
      <c r="C93" t="s">
        <v>52</v>
      </c>
      <c r="D93" s="2">
        <v>45068</v>
      </c>
      <c r="E93" s="2">
        <v>45073</v>
      </c>
      <c r="F93">
        <v>5</v>
      </c>
      <c r="G93" t="s">
        <v>57</v>
      </c>
      <c r="H93">
        <v>2</v>
      </c>
      <c r="I93" t="s">
        <v>71</v>
      </c>
      <c r="J93">
        <v>38351</v>
      </c>
      <c r="K93" t="s">
        <v>53</v>
      </c>
      <c r="L93" t="s">
        <v>54</v>
      </c>
      <c r="M93" t="s">
        <v>27</v>
      </c>
      <c r="N93" s="2">
        <v>45068</v>
      </c>
      <c r="O93" s="2">
        <v>45069.5</v>
      </c>
      <c r="P93" t="s">
        <v>64</v>
      </c>
      <c r="Q93" t="s">
        <v>29</v>
      </c>
      <c r="R93" t="s">
        <v>43</v>
      </c>
      <c r="S93">
        <v>4</v>
      </c>
      <c r="T93">
        <v>12</v>
      </c>
      <c r="U93" t="s">
        <v>48</v>
      </c>
      <c r="V93" t="str">
        <f t="shared" si="1"/>
        <v>May-2023</v>
      </c>
      <c r="W93" s="16">
        <f>Table1[[#This Row],[Consultation Date]] - Table1[[#This Row],[Appointment Date]]</f>
        <v>1.5</v>
      </c>
    </row>
    <row r="94" spans="1:23" x14ac:dyDescent="0.3">
      <c r="A94" t="s">
        <v>151</v>
      </c>
      <c r="B94">
        <v>60</v>
      </c>
      <c r="C94" t="s">
        <v>45</v>
      </c>
      <c r="D94" s="2">
        <v>45418</v>
      </c>
      <c r="E94" s="2">
        <v>45462</v>
      </c>
      <c r="F94">
        <v>14</v>
      </c>
      <c r="G94" t="s">
        <v>40</v>
      </c>
      <c r="H94">
        <v>4</v>
      </c>
      <c r="I94" t="s">
        <v>24</v>
      </c>
      <c r="J94">
        <v>41145</v>
      </c>
      <c r="K94" t="s">
        <v>25</v>
      </c>
      <c r="L94" t="s">
        <v>26</v>
      </c>
      <c r="M94" t="s">
        <v>27</v>
      </c>
      <c r="N94" s="2">
        <v>45388</v>
      </c>
      <c r="O94" s="2">
        <v>45388.25</v>
      </c>
      <c r="P94" t="s">
        <v>55</v>
      </c>
      <c r="Q94" t="s">
        <v>29</v>
      </c>
      <c r="R94" t="s">
        <v>30</v>
      </c>
      <c r="S94">
        <v>10</v>
      </c>
      <c r="T94">
        <v>8</v>
      </c>
      <c r="U94" t="s">
        <v>48</v>
      </c>
      <c r="V94" t="str">
        <f t="shared" si="1"/>
        <v>May-2024</v>
      </c>
      <c r="W94" s="16">
        <f>Table1[[#This Row],[Consultation Date]] - Table1[[#This Row],[Appointment Date]]</f>
        <v>0.25</v>
      </c>
    </row>
    <row r="95" spans="1:23" x14ac:dyDescent="0.3">
      <c r="A95" t="s">
        <v>152</v>
      </c>
      <c r="B95">
        <v>41</v>
      </c>
      <c r="C95" t="s">
        <v>62</v>
      </c>
      <c r="D95" s="2">
        <v>45432</v>
      </c>
      <c r="E95" s="2">
        <v>45435</v>
      </c>
      <c r="F95">
        <v>3</v>
      </c>
      <c r="G95" t="s">
        <v>63</v>
      </c>
      <c r="H95">
        <v>2</v>
      </c>
      <c r="I95" t="s">
        <v>66</v>
      </c>
      <c r="J95">
        <v>27412</v>
      </c>
      <c r="K95" t="s">
        <v>67</v>
      </c>
      <c r="L95" t="s">
        <v>54</v>
      </c>
      <c r="M95" t="s">
        <v>41</v>
      </c>
      <c r="N95" s="2">
        <v>45430</v>
      </c>
      <c r="O95" s="2">
        <v>45431.625</v>
      </c>
      <c r="P95" t="s">
        <v>28</v>
      </c>
      <c r="Q95" t="s">
        <v>38</v>
      </c>
      <c r="R95" t="s">
        <v>30</v>
      </c>
      <c r="S95">
        <v>10</v>
      </c>
      <c r="T95">
        <v>8</v>
      </c>
      <c r="U95" t="s">
        <v>31</v>
      </c>
      <c r="V95" t="str">
        <f t="shared" si="1"/>
        <v>May-2024</v>
      </c>
      <c r="W95" s="16">
        <f>Table1[[#This Row],[Consultation Date]] - Table1[[#This Row],[Appointment Date]]</f>
        <v>1.625</v>
      </c>
    </row>
    <row r="96" spans="1:23" x14ac:dyDescent="0.3">
      <c r="A96" t="s">
        <v>153</v>
      </c>
      <c r="B96">
        <v>29</v>
      </c>
      <c r="C96" t="s">
        <v>52</v>
      </c>
      <c r="D96" s="2">
        <v>45020</v>
      </c>
      <c r="E96" s="2">
        <v>45111</v>
      </c>
      <c r="F96">
        <v>3</v>
      </c>
      <c r="G96" t="s">
        <v>34</v>
      </c>
      <c r="H96">
        <v>4</v>
      </c>
      <c r="I96" t="s">
        <v>66</v>
      </c>
      <c r="J96">
        <v>29078</v>
      </c>
      <c r="K96" t="s">
        <v>60</v>
      </c>
      <c r="L96" t="s">
        <v>26</v>
      </c>
      <c r="M96" t="s">
        <v>27</v>
      </c>
      <c r="N96" s="2">
        <v>45015</v>
      </c>
      <c r="O96" s="2">
        <v>45016.625</v>
      </c>
      <c r="P96" t="s">
        <v>55</v>
      </c>
      <c r="Q96" t="s">
        <v>29</v>
      </c>
      <c r="R96" t="s">
        <v>30</v>
      </c>
      <c r="S96">
        <v>5</v>
      </c>
      <c r="T96">
        <v>10</v>
      </c>
      <c r="U96" t="s">
        <v>68</v>
      </c>
      <c r="V96" t="str">
        <f t="shared" si="1"/>
        <v>Apr-2023</v>
      </c>
      <c r="W96" s="16">
        <f>Table1[[#This Row],[Consultation Date]] - Table1[[#This Row],[Appointment Date]]</f>
        <v>1.625</v>
      </c>
    </row>
    <row r="97" spans="1:23" x14ac:dyDescent="0.3">
      <c r="A97" t="s">
        <v>154</v>
      </c>
      <c r="B97">
        <v>15</v>
      </c>
      <c r="C97" t="s">
        <v>41</v>
      </c>
      <c r="D97" s="2">
        <v>44975</v>
      </c>
      <c r="E97" s="2">
        <v>44984</v>
      </c>
      <c r="F97">
        <v>9</v>
      </c>
      <c r="G97" t="s">
        <v>40</v>
      </c>
      <c r="H97">
        <v>2</v>
      </c>
      <c r="I97" t="s">
        <v>46</v>
      </c>
      <c r="J97">
        <v>27580</v>
      </c>
      <c r="K97" t="s">
        <v>25</v>
      </c>
      <c r="L97" t="s">
        <v>26</v>
      </c>
      <c r="M97" t="s">
        <v>41</v>
      </c>
      <c r="N97" s="2">
        <v>44975</v>
      </c>
      <c r="O97" s="2">
        <v>44975.875</v>
      </c>
      <c r="P97" t="s">
        <v>42</v>
      </c>
      <c r="Q97" t="s">
        <v>29</v>
      </c>
      <c r="R97" t="s">
        <v>30</v>
      </c>
      <c r="S97">
        <v>8</v>
      </c>
      <c r="T97">
        <v>10</v>
      </c>
      <c r="U97" t="s">
        <v>31</v>
      </c>
      <c r="V97" t="str">
        <f t="shared" si="1"/>
        <v>Feb-2023</v>
      </c>
      <c r="W97" s="16">
        <f>Table1[[#This Row],[Consultation Date]] - Table1[[#This Row],[Appointment Date]]</f>
        <v>0.875</v>
      </c>
    </row>
    <row r="98" spans="1:23" x14ac:dyDescent="0.3">
      <c r="A98" t="s">
        <v>155</v>
      </c>
      <c r="B98">
        <v>45</v>
      </c>
      <c r="C98" t="s">
        <v>45</v>
      </c>
      <c r="D98" s="2">
        <v>45039</v>
      </c>
      <c r="E98" s="2">
        <v>45044</v>
      </c>
      <c r="F98">
        <v>5</v>
      </c>
      <c r="G98" t="s">
        <v>50</v>
      </c>
      <c r="H98">
        <v>4</v>
      </c>
      <c r="I98" t="s">
        <v>35</v>
      </c>
      <c r="J98">
        <v>19855</v>
      </c>
      <c r="K98" t="s">
        <v>53</v>
      </c>
      <c r="L98" t="s">
        <v>26</v>
      </c>
      <c r="M98" t="s">
        <v>41</v>
      </c>
      <c r="N98" s="2">
        <v>45036</v>
      </c>
      <c r="O98" s="2">
        <v>45037.041666666664</v>
      </c>
      <c r="P98" t="s">
        <v>28</v>
      </c>
      <c r="Q98" t="s">
        <v>29</v>
      </c>
      <c r="R98" t="s">
        <v>30</v>
      </c>
      <c r="S98">
        <v>10</v>
      </c>
      <c r="T98">
        <v>8</v>
      </c>
      <c r="U98" t="s">
        <v>48</v>
      </c>
      <c r="V98" t="str">
        <f t="shared" si="1"/>
        <v>Apr-2023</v>
      </c>
      <c r="W98" s="16">
        <f>Table1[[#This Row],[Consultation Date]] - Table1[[#This Row],[Appointment Date]]</f>
        <v>1.0416666666642413</v>
      </c>
    </row>
    <row r="99" spans="1:23" x14ac:dyDescent="0.3">
      <c r="A99" t="s">
        <v>156</v>
      </c>
      <c r="B99">
        <v>65</v>
      </c>
      <c r="C99" t="s">
        <v>52</v>
      </c>
      <c r="D99" s="2">
        <v>45083</v>
      </c>
      <c r="E99" s="2">
        <v>45096</v>
      </c>
      <c r="F99">
        <v>13</v>
      </c>
      <c r="G99" t="s">
        <v>50</v>
      </c>
      <c r="H99">
        <v>3</v>
      </c>
      <c r="I99" t="s">
        <v>66</v>
      </c>
      <c r="J99">
        <v>41169</v>
      </c>
      <c r="K99" t="s">
        <v>36</v>
      </c>
      <c r="L99" t="s">
        <v>54</v>
      </c>
      <c r="M99" t="s">
        <v>27</v>
      </c>
      <c r="N99" s="2">
        <v>44991</v>
      </c>
      <c r="O99" s="2">
        <v>44991.041666666664</v>
      </c>
      <c r="P99" t="s">
        <v>55</v>
      </c>
      <c r="Q99" t="s">
        <v>38</v>
      </c>
      <c r="R99" t="s">
        <v>47</v>
      </c>
      <c r="S99">
        <v>9</v>
      </c>
      <c r="T99">
        <v>10</v>
      </c>
      <c r="U99" t="s">
        <v>68</v>
      </c>
      <c r="V99" t="str">
        <f t="shared" si="1"/>
        <v>Jun-2023</v>
      </c>
      <c r="W99" s="16">
        <f>Table1[[#This Row],[Consultation Date]] - Table1[[#This Row],[Appointment Date]]</f>
        <v>4.1666666664241347E-2</v>
      </c>
    </row>
    <row r="100" spans="1:23" x14ac:dyDescent="0.3">
      <c r="A100" t="s">
        <v>157</v>
      </c>
      <c r="B100">
        <v>89</v>
      </c>
      <c r="C100" t="s">
        <v>52</v>
      </c>
      <c r="D100" s="2">
        <v>45090</v>
      </c>
      <c r="E100" s="2">
        <v>45093</v>
      </c>
      <c r="F100">
        <v>3</v>
      </c>
      <c r="G100" t="s">
        <v>57</v>
      </c>
      <c r="H100">
        <v>1</v>
      </c>
      <c r="I100" t="s">
        <v>35</v>
      </c>
      <c r="J100">
        <v>24569</v>
      </c>
      <c r="K100" t="s">
        <v>36</v>
      </c>
      <c r="L100" t="s">
        <v>54</v>
      </c>
      <c r="M100" t="s">
        <v>27</v>
      </c>
      <c r="N100" s="2">
        <v>45144</v>
      </c>
      <c r="O100" s="2">
        <v>45144.791666666664</v>
      </c>
      <c r="P100" t="s">
        <v>28</v>
      </c>
      <c r="Q100" t="s">
        <v>38</v>
      </c>
      <c r="R100" t="s">
        <v>30</v>
      </c>
      <c r="S100">
        <v>7</v>
      </c>
      <c r="T100">
        <v>8</v>
      </c>
      <c r="U100" t="s">
        <v>68</v>
      </c>
      <c r="V100" t="str">
        <f t="shared" si="1"/>
        <v>Jun-2023</v>
      </c>
      <c r="W100" s="16">
        <f>Table1[[#This Row],[Consultation Date]] - Table1[[#This Row],[Appointment Date]]</f>
        <v>0.79166666666424135</v>
      </c>
    </row>
    <row r="101" spans="1:23" x14ac:dyDescent="0.3">
      <c r="A101" t="s">
        <v>158</v>
      </c>
      <c r="B101">
        <v>71</v>
      </c>
      <c r="C101" t="s">
        <v>62</v>
      </c>
      <c r="D101" s="2">
        <v>45507</v>
      </c>
      <c r="E101" s="2">
        <v>45568</v>
      </c>
      <c r="F101">
        <v>2</v>
      </c>
      <c r="G101" t="s">
        <v>63</v>
      </c>
      <c r="H101">
        <v>3</v>
      </c>
      <c r="I101" t="s">
        <v>71</v>
      </c>
      <c r="J101">
        <v>30738</v>
      </c>
      <c r="K101" t="s">
        <v>53</v>
      </c>
      <c r="L101" t="s">
        <v>54</v>
      </c>
      <c r="M101" t="s">
        <v>27</v>
      </c>
      <c r="N101" s="2">
        <v>45385</v>
      </c>
      <c r="O101" s="2">
        <v>45415.125</v>
      </c>
      <c r="P101" t="s">
        <v>42</v>
      </c>
      <c r="Q101" t="s">
        <v>29</v>
      </c>
      <c r="R101" t="s">
        <v>30</v>
      </c>
      <c r="S101">
        <v>8</v>
      </c>
      <c r="T101">
        <v>12</v>
      </c>
      <c r="U101" t="s">
        <v>31</v>
      </c>
      <c r="V101" t="str">
        <f t="shared" si="1"/>
        <v>Aug-2024</v>
      </c>
      <c r="W101" s="16">
        <f>Table1[[#This Row],[Consultation Date]] - Table1[[#This Row],[Appointment Date]]</f>
        <v>30.125</v>
      </c>
    </row>
    <row r="102" spans="1:23" x14ac:dyDescent="0.3">
      <c r="A102" t="s">
        <v>159</v>
      </c>
      <c r="B102">
        <v>9</v>
      </c>
      <c r="C102" t="s">
        <v>41</v>
      </c>
      <c r="D102" s="2">
        <v>45110</v>
      </c>
      <c r="E102" s="2">
        <v>45003</v>
      </c>
      <c r="F102">
        <v>11</v>
      </c>
      <c r="G102" t="s">
        <v>57</v>
      </c>
      <c r="H102">
        <v>1</v>
      </c>
      <c r="I102" t="s">
        <v>35</v>
      </c>
      <c r="J102">
        <v>11772</v>
      </c>
      <c r="K102" t="s">
        <v>53</v>
      </c>
      <c r="L102" t="s">
        <v>26</v>
      </c>
      <c r="M102" t="s">
        <v>27</v>
      </c>
      <c r="N102" s="2">
        <v>45049</v>
      </c>
      <c r="O102" s="2">
        <v>45080.041666666664</v>
      </c>
      <c r="P102" t="s">
        <v>64</v>
      </c>
      <c r="Q102" t="s">
        <v>29</v>
      </c>
      <c r="R102" t="s">
        <v>47</v>
      </c>
      <c r="S102">
        <v>11</v>
      </c>
      <c r="T102">
        <v>10</v>
      </c>
      <c r="U102" t="s">
        <v>68</v>
      </c>
      <c r="V102" t="str">
        <f t="shared" si="1"/>
        <v>Jul-2023</v>
      </c>
      <c r="W102" s="16">
        <f>Table1[[#This Row],[Consultation Date]] - Table1[[#This Row],[Appointment Date]]</f>
        <v>31.041666666664241</v>
      </c>
    </row>
    <row r="103" spans="1:23" x14ac:dyDescent="0.3">
      <c r="A103" t="s">
        <v>160</v>
      </c>
      <c r="B103">
        <v>88</v>
      </c>
      <c r="C103" t="s">
        <v>33</v>
      </c>
      <c r="D103" s="2">
        <v>45321</v>
      </c>
      <c r="E103" s="2">
        <v>45335</v>
      </c>
      <c r="F103">
        <v>14</v>
      </c>
      <c r="G103" t="s">
        <v>57</v>
      </c>
      <c r="H103">
        <v>3</v>
      </c>
      <c r="I103" t="s">
        <v>71</v>
      </c>
      <c r="J103">
        <v>29874</v>
      </c>
      <c r="K103" t="s">
        <v>36</v>
      </c>
      <c r="L103" t="s">
        <v>54</v>
      </c>
      <c r="M103" t="s">
        <v>27</v>
      </c>
      <c r="N103" s="2">
        <v>45320</v>
      </c>
      <c r="O103" s="2">
        <v>45320.25</v>
      </c>
      <c r="P103" t="s">
        <v>64</v>
      </c>
      <c r="Q103" t="s">
        <v>29</v>
      </c>
      <c r="R103" t="s">
        <v>47</v>
      </c>
      <c r="S103">
        <v>11</v>
      </c>
      <c r="T103">
        <v>10</v>
      </c>
      <c r="U103" t="s">
        <v>68</v>
      </c>
      <c r="V103" t="str">
        <f t="shared" si="1"/>
        <v>Jan-2024</v>
      </c>
      <c r="W103" s="16">
        <f>Table1[[#This Row],[Consultation Date]] - Table1[[#This Row],[Appointment Date]]</f>
        <v>0.25</v>
      </c>
    </row>
    <row r="104" spans="1:23" x14ac:dyDescent="0.3">
      <c r="A104" t="s">
        <v>161</v>
      </c>
      <c r="B104">
        <v>1</v>
      </c>
      <c r="C104" t="s">
        <v>33</v>
      </c>
      <c r="D104" s="2">
        <v>45317</v>
      </c>
      <c r="E104" s="2">
        <v>45318</v>
      </c>
      <c r="F104">
        <v>1</v>
      </c>
      <c r="G104" t="s">
        <v>23</v>
      </c>
      <c r="H104">
        <v>3</v>
      </c>
      <c r="I104" t="s">
        <v>24</v>
      </c>
      <c r="J104">
        <v>24731</v>
      </c>
      <c r="K104" t="s">
        <v>25</v>
      </c>
      <c r="L104" t="s">
        <v>54</v>
      </c>
      <c r="M104" t="s">
        <v>41</v>
      </c>
      <c r="N104" s="2">
        <v>45313</v>
      </c>
      <c r="O104" s="2">
        <v>45314.958333333336</v>
      </c>
      <c r="P104" t="s">
        <v>55</v>
      </c>
      <c r="Q104" t="s">
        <v>29</v>
      </c>
      <c r="R104" t="s">
        <v>47</v>
      </c>
      <c r="S104">
        <v>5</v>
      </c>
      <c r="T104">
        <v>10</v>
      </c>
      <c r="U104" t="s">
        <v>48</v>
      </c>
      <c r="V104" t="str">
        <f t="shared" si="1"/>
        <v>Jan-2024</v>
      </c>
      <c r="W104" s="16">
        <f>Table1[[#This Row],[Consultation Date]] - Table1[[#This Row],[Appointment Date]]</f>
        <v>1.9583333333357587</v>
      </c>
    </row>
    <row r="105" spans="1:23" x14ac:dyDescent="0.3">
      <c r="A105" t="s">
        <v>162</v>
      </c>
      <c r="B105">
        <v>8</v>
      </c>
      <c r="C105" t="s">
        <v>52</v>
      </c>
      <c r="D105" s="2">
        <v>45406</v>
      </c>
      <c r="E105" s="2">
        <v>45409</v>
      </c>
      <c r="F105">
        <v>3</v>
      </c>
      <c r="G105" t="s">
        <v>57</v>
      </c>
      <c r="H105">
        <v>2</v>
      </c>
      <c r="I105" t="s">
        <v>24</v>
      </c>
      <c r="J105">
        <v>15131</v>
      </c>
      <c r="K105" t="s">
        <v>36</v>
      </c>
      <c r="L105" t="s">
        <v>26</v>
      </c>
      <c r="M105" t="s">
        <v>41</v>
      </c>
      <c r="N105" s="2">
        <v>45401</v>
      </c>
      <c r="O105" s="2">
        <v>45402.5</v>
      </c>
      <c r="P105" t="s">
        <v>37</v>
      </c>
      <c r="Q105" t="s">
        <v>29</v>
      </c>
      <c r="R105" t="s">
        <v>43</v>
      </c>
      <c r="S105">
        <v>8</v>
      </c>
      <c r="T105">
        <v>12</v>
      </c>
      <c r="U105" t="s">
        <v>48</v>
      </c>
      <c r="V105" t="str">
        <f t="shared" si="1"/>
        <v>Apr-2024</v>
      </c>
      <c r="W105" s="16">
        <f>Table1[[#This Row],[Consultation Date]] - Table1[[#This Row],[Appointment Date]]</f>
        <v>1.5</v>
      </c>
    </row>
    <row r="106" spans="1:23" x14ac:dyDescent="0.3">
      <c r="A106" t="s">
        <v>163</v>
      </c>
      <c r="B106">
        <v>88</v>
      </c>
      <c r="C106" t="s">
        <v>22</v>
      </c>
      <c r="D106" s="2">
        <v>45184</v>
      </c>
      <c r="E106" s="2">
        <v>45185</v>
      </c>
      <c r="F106">
        <v>1</v>
      </c>
      <c r="G106" t="s">
        <v>23</v>
      </c>
      <c r="H106">
        <v>5</v>
      </c>
      <c r="I106" t="s">
        <v>46</v>
      </c>
      <c r="J106">
        <v>5788</v>
      </c>
      <c r="K106" t="s">
        <v>53</v>
      </c>
      <c r="L106" t="s">
        <v>54</v>
      </c>
      <c r="M106" t="s">
        <v>41</v>
      </c>
      <c r="N106" s="2">
        <v>45239</v>
      </c>
      <c r="O106" s="2">
        <v>45239.666666666664</v>
      </c>
      <c r="P106" t="s">
        <v>42</v>
      </c>
      <c r="Q106" t="s">
        <v>29</v>
      </c>
      <c r="R106" t="s">
        <v>43</v>
      </c>
      <c r="S106">
        <v>10</v>
      </c>
      <c r="T106">
        <v>12</v>
      </c>
      <c r="U106" t="s">
        <v>68</v>
      </c>
      <c r="V106" t="str">
        <f t="shared" si="1"/>
        <v>Sep-2023</v>
      </c>
      <c r="W106" s="16">
        <f>Table1[[#This Row],[Consultation Date]] - Table1[[#This Row],[Appointment Date]]</f>
        <v>0.66666666666424135</v>
      </c>
    </row>
    <row r="107" spans="1:23" x14ac:dyDescent="0.3">
      <c r="A107" t="s">
        <v>164</v>
      </c>
      <c r="B107">
        <v>63</v>
      </c>
      <c r="C107" t="s">
        <v>41</v>
      </c>
      <c r="D107" s="2">
        <v>45261</v>
      </c>
      <c r="E107" s="2">
        <v>44944</v>
      </c>
      <c r="F107">
        <v>6</v>
      </c>
      <c r="G107" t="s">
        <v>50</v>
      </c>
      <c r="H107">
        <v>4</v>
      </c>
      <c r="I107" t="s">
        <v>66</v>
      </c>
      <c r="J107">
        <v>21184</v>
      </c>
      <c r="K107" t="s">
        <v>60</v>
      </c>
      <c r="L107" t="s">
        <v>26</v>
      </c>
      <c r="M107" t="s">
        <v>27</v>
      </c>
      <c r="N107" s="2">
        <v>45231</v>
      </c>
      <c r="O107" s="2">
        <v>45261.541666666664</v>
      </c>
      <c r="P107" t="s">
        <v>55</v>
      </c>
      <c r="Q107" t="s">
        <v>29</v>
      </c>
      <c r="R107" t="s">
        <v>30</v>
      </c>
      <c r="S107">
        <v>10</v>
      </c>
      <c r="T107">
        <v>10</v>
      </c>
      <c r="U107" t="s">
        <v>68</v>
      </c>
      <c r="V107" t="str">
        <f t="shared" si="1"/>
        <v>Dec-2023</v>
      </c>
      <c r="W107" s="16">
        <f>Table1[[#This Row],[Consultation Date]] - Table1[[#This Row],[Appointment Date]]</f>
        <v>30.541666666664241</v>
      </c>
    </row>
    <row r="108" spans="1:23" x14ac:dyDescent="0.3">
      <c r="A108" t="s">
        <v>165</v>
      </c>
      <c r="B108">
        <v>11</v>
      </c>
      <c r="C108" t="s">
        <v>45</v>
      </c>
      <c r="D108" s="2">
        <v>45044</v>
      </c>
      <c r="E108" s="2">
        <v>45235</v>
      </c>
      <c r="F108">
        <v>13</v>
      </c>
      <c r="G108" t="s">
        <v>50</v>
      </c>
      <c r="H108">
        <v>4</v>
      </c>
      <c r="I108" t="s">
        <v>46</v>
      </c>
      <c r="J108">
        <v>35897</v>
      </c>
      <c r="K108" t="s">
        <v>67</v>
      </c>
      <c r="L108" t="s">
        <v>26</v>
      </c>
      <c r="M108" t="s">
        <v>27</v>
      </c>
      <c r="N108" s="2">
        <v>45043</v>
      </c>
      <c r="O108" s="2">
        <v>45044.416666666664</v>
      </c>
      <c r="P108" t="s">
        <v>55</v>
      </c>
      <c r="Q108" t="s">
        <v>29</v>
      </c>
      <c r="R108" t="s">
        <v>30</v>
      </c>
      <c r="S108">
        <v>5</v>
      </c>
      <c r="T108">
        <v>8</v>
      </c>
      <c r="U108" t="s">
        <v>31</v>
      </c>
      <c r="V108" t="str">
        <f t="shared" si="1"/>
        <v>Apr-2023</v>
      </c>
      <c r="W108" s="16">
        <f>Table1[[#This Row],[Consultation Date]] - Table1[[#This Row],[Appointment Date]]</f>
        <v>1.4166666666642413</v>
      </c>
    </row>
    <row r="109" spans="1:23" x14ac:dyDescent="0.3">
      <c r="A109" t="s">
        <v>166</v>
      </c>
      <c r="B109">
        <v>81</v>
      </c>
      <c r="C109" t="s">
        <v>22</v>
      </c>
      <c r="D109" s="2">
        <v>44936</v>
      </c>
      <c r="E109" s="2">
        <v>45213</v>
      </c>
      <c r="F109">
        <v>13</v>
      </c>
      <c r="G109" t="s">
        <v>57</v>
      </c>
      <c r="H109">
        <v>4</v>
      </c>
      <c r="I109" t="s">
        <v>71</v>
      </c>
      <c r="J109">
        <v>7889</v>
      </c>
      <c r="K109" t="s">
        <v>60</v>
      </c>
      <c r="L109" t="s">
        <v>26</v>
      </c>
      <c r="M109" t="s">
        <v>27</v>
      </c>
      <c r="N109" s="2">
        <v>45197</v>
      </c>
      <c r="O109" s="2">
        <v>45197.458333333336</v>
      </c>
      <c r="P109" t="s">
        <v>64</v>
      </c>
      <c r="Q109" t="s">
        <v>29</v>
      </c>
      <c r="R109" t="s">
        <v>30</v>
      </c>
      <c r="S109">
        <v>10</v>
      </c>
      <c r="T109">
        <v>12</v>
      </c>
      <c r="U109" t="s">
        <v>31</v>
      </c>
      <c r="V109" t="str">
        <f t="shared" si="1"/>
        <v>Jan-2023</v>
      </c>
      <c r="W109" s="16">
        <f>Table1[[#This Row],[Consultation Date]] - Table1[[#This Row],[Appointment Date]]</f>
        <v>0.45833333333575865</v>
      </c>
    </row>
    <row r="110" spans="1:23" x14ac:dyDescent="0.3">
      <c r="A110" t="s">
        <v>167</v>
      </c>
      <c r="B110">
        <v>8</v>
      </c>
      <c r="C110" t="s">
        <v>22</v>
      </c>
      <c r="D110" s="2">
        <v>45275</v>
      </c>
      <c r="E110" s="2">
        <v>45279</v>
      </c>
      <c r="F110">
        <v>4</v>
      </c>
      <c r="G110" t="s">
        <v>50</v>
      </c>
      <c r="H110">
        <v>1</v>
      </c>
      <c r="I110" t="s">
        <v>46</v>
      </c>
      <c r="J110">
        <v>14569</v>
      </c>
      <c r="K110" t="s">
        <v>60</v>
      </c>
      <c r="L110" t="s">
        <v>26</v>
      </c>
      <c r="M110" t="s">
        <v>27</v>
      </c>
      <c r="N110" s="2">
        <v>45242</v>
      </c>
      <c r="O110" s="2">
        <v>45272.833333333336</v>
      </c>
      <c r="P110" t="s">
        <v>28</v>
      </c>
      <c r="Q110" t="s">
        <v>29</v>
      </c>
      <c r="R110" t="s">
        <v>43</v>
      </c>
      <c r="S110">
        <v>10</v>
      </c>
      <c r="T110">
        <v>10</v>
      </c>
      <c r="U110" t="s">
        <v>68</v>
      </c>
      <c r="V110" t="str">
        <f t="shared" si="1"/>
        <v>Dec-2023</v>
      </c>
      <c r="W110" s="16">
        <f>Table1[[#This Row],[Consultation Date]] - Table1[[#This Row],[Appointment Date]]</f>
        <v>30.833333333335759</v>
      </c>
    </row>
    <row r="111" spans="1:23" x14ac:dyDescent="0.3">
      <c r="A111" t="s">
        <v>168</v>
      </c>
      <c r="B111">
        <v>35</v>
      </c>
      <c r="C111" t="s">
        <v>41</v>
      </c>
      <c r="D111" s="2">
        <v>45041</v>
      </c>
      <c r="E111" s="2">
        <v>45051</v>
      </c>
      <c r="F111">
        <v>10</v>
      </c>
      <c r="G111" t="s">
        <v>63</v>
      </c>
      <c r="H111">
        <v>4</v>
      </c>
      <c r="I111" t="s">
        <v>35</v>
      </c>
      <c r="J111">
        <v>26657</v>
      </c>
      <c r="K111" t="s">
        <v>53</v>
      </c>
      <c r="L111" t="s">
        <v>54</v>
      </c>
      <c r="M111" t="s">
        <v>27</v>
      </c>
      <c r="N111" s="2">
        <v>45041</v>
      </c>
      <c r="O111" s="2">
        <v>45042.041666666664</v>
      </c>
      <c r="P111" t="s">
        <v>42</v>
      </c>
      <c r="Q111" t="s">
        <v>29</v>
      </c>
      <c r="R111" t="s">
        <v>30</v>
      </c>
      <c r="S111">
        <v>7</v>
      </c>
      <c r="T111">
        <v>10</v>
      </c>
      <c r="U111" t="s">
        <v>48</v>
      </c>
      <c r="V111" t="str">
        <f t="shared" si="1"/>
        <v>Apr-2023</v>
      </c>
      <c r="W111" s="16">
        <f>Table1[[#This Row],[Consultation Date]] - Table1[[#This Row],[Appointment Date]]</f>
        <v>1.0416666666642413</v>
      </c>
    </row>
    <row r="112" spans="1:23" x14ac:dyDescent="0.3">
      <c r="A112" t="s">
        <v>169</v>
      </c>
      <c r="B112">
        <v>35</v>
      </c>
      <c r="C112" t="s">
        <v>52</v>
      </c>
      <c r="D112" s="2">
        <v>45227</v>
      </c>
      <c r="E112" s="2">
        <v>44996</v>
      </c>
      <c r="F112">
        <v>6</v>
      </c>
      <c r="G112" t="s">
        <v>23</v>
      </c>
      <c r="H112">
        <v>4</v>
      </c>
      <c r="I112" t="s">
        <v>71</v>
      </c>
      <c r="J112">
        <v>15141</v>
      </c>
      <c r="K112" t="s">
        <v>36</v>
      </c>
      <c r="L112" t="s">
        <v>54</v>
      </c>
      <c r="M112" t="s">
        <v>41</v>
      </c>
      <c r="N112" s="2">
        <v>45227</v>
      </c>
      <c r="O112" s="2">
        <v>45227.458333333336</v>
      </c>
      <c r="P112" t="s">
        <v>28</v>
      </c>
      <c r="Q112" t="s">
        <v>29</v>
      </c>
      <c r="R112" t="s">
        <v>30</v>
      </c>
      <c r="S112">
        <v>7</v>
      </c>
      <c r="T112">
        <v>12</v>
      </c>
      <c r="U112" t="s">
        <v>68</v>
      </c>
      <c r="V112" t="str">
        <f t="shared" si="1"/>
        <v>Oct-2023</v>
      </c>
      <c r="W112" s="16">
        <f>Table1[[#This Row],[Consultation Date]] - Table1[[#This Row],[Appointment Date]]</f>
        <v>0.45833333333575865</v>
      </c>
    </row>
    <row r="113" spans="1:23" x14ac:dyDescent="0.3">
      <c r="A113" t="s">
        <v>170</v>
      </c>
      <c r="B113">
        <v>33</v>
      </c>
      <c r="C113" t="s">
        <v>52</v>
      </c>
      <c r="D113" s="2">
        <v>45372</v>
      </c>
      <c r="E113" s="2">
        <v>45373</v>
      </c>
      <c r="F113">
        <v>1</v>
      </c>
      <c r="G113" t="s">
        <v>23</v>
      </c>
      <c r="H113">
        <v>2</v>
      </c>
      <c r="I113" t="s">
        <v>24</v>
      </c>
      <c r="J113">
        <v>24656</v>
      </c>
      <c r="K113" t="s">
        <v>25</v>
      </c>
      <c r="L113" t="s">
        <v>26</v>
      </c>
      <c r="M113" t="s">
        <v>41</v>
      </c>
      <c r="N113" s="2">
        <v>45368</v>
      </c>
      <c r="O113" s="2">
        <v>45368.375</v>
      </c>
      <c r="P113" t="s">
        <v>42</v>
      </c>
      <c r="Q113" t="s">
        <v>29</v>
      </c>
      <c r="R113" t="s">
        <v>43</v>
      </c>
      <c r="S113">
        <v>4</v>
      </c>
      <c r="T113">
        <v>8</v>
      </c>
      <c r="U113" t="s">
        <v>68</v>
      </c>
      <c r="V113" t="str">
        <f t="shared" si="1"/>
        <v>Mar-2024</v>
      </c>
      <c r="W113" s="16">
        <f>Table1[[#This Row],[Consultation Date]] - Table1[[#This Row],[Appointment Date]]</f>
        <v>0.375</v>
      </c>
    </row>
    <row r="114" spans="1:23" x14ac:dyDescent="0.3">
      <c r="A114" t="s">
        <v>171</v>
      </c>
      <c r="B114">
        <v>5</v>
      </c>
      <c r="C114" t="s">
        <v>52</v>
      </c>
      <c r="D114" s="2">
        <v>45236</v>
      </c>
      <c r="E114" s="2">
        <v>45091</v>
      </c>
      <c r="F114">
        <v>3</v>
      </c>
      <c r="G114" t="s">
        <v>57</v>
      </c>
      <c r="H114">
        <v>3</v>
      </c>
      <c r="I114" t="s">
        <v>66</v>
      </c>
      <c r="J114">
        <v>26618</v>
      </c>
      <c r="K114" t="s">
        <v>60</v>
      </c>
      <c r="L114" t="s">
        <v>54</v>
      </c>
      <c r="M114" t="s">
        <v>27</v>
      </c>
      <c r="N114" s="2">
        <v>45205</v>
      </c>
      <c r="O114" s="2">
        <v>45205.75</v>
      </c>
      <c r="P114" t="s">
        <v>37</v>
      </c>
      <c r="Q114" t="s">
        <v>29</v>
      </c>
      <c r="R114" t="s">
        <v>47</v>
      </c>
      <c r="S114">
        <v>7</v>
      </c>
      <c r="T114">
        <v>10</v>
      </c>
      <c r="U114" t="s">
        <v>48</v>
      </c>
      <c r="V114" t="str">
        <f t="shared" si="1"/>
        <v>Nov-2023</v>
      </c>
      <c r="W114" s="16">
        <f>Table1[[#This Row],[Consultation Date]] - Table1[[#This Row],[Appointment Date]]</f>
        <v>0.75</v>
      </c>
    </row>
    <row r="115" spans="1:23" x14ac:dyDescent="0.3">
      <c r="A115" t="s">
        <v>172</v>
      </c>
      <c r="B115">
        <v>41</v>
      </c>
      <c r="C115" t="s">
        <v>52</v>
      </c>
      <c r="D115" s="2">
        <v>45539</v>
      </c>
      <c r="E115" s="2">
        <v>45396</v>
      </c>
      <c r="F115">
        <v>5</v>
      </c>
      <c r="G115" t="s">
        <v>50</v>
      </c>
      <c r="H115">
        <v>4</v>
      </c>
      <c r="I115" t="s">
        <v>71</v>
      </c>
      <c r="J115">
        <v>16934</v>
      </c>
      <c r="K115" t="s">
        <v>36</v>
      </c>
      <c r="L115" t="s">
        <v>54</v>
      </c>
      <c r="M115" t="s">
        <v>27</v>
      </c>
      <c r="N115" s="2">
        <v>45477</v>
      </c>
      <c r="O115" s="2">
        <v>45477.833333333336</v>
      </c>
      <c r="P115" t="s">
        <v>64</v>
      </c>
      <c r="Q115" t="s">
        <v>29</v>
      </c>
      <c r="R115" t="s">
        <v>43</v>
      </c>
      <c r="S115">
        <v>6</v>
      </c>
      <c r="T115">
        <v>8</v>
      </c>
      <c r="U115" t="s">
        <v>48</v>
      </c>
      <c r="V115" t="str">
        <f t="shared" si="1"/>
        <v>Sep-2024</v>
      </c>
      <c r="W115" s="16">
        <f>Table1[[#This Row],[Consultation Date]] - Table1[[#This Row],[Appointment Date]]</f>
        <v>0.83333333333575865</v>
      </c>
    </row>
    <row r="116" spans="1:23" x14ac:dyDescent="0.3">
      <c r="A116" t="s">
        <v>173</v>
      </c>
      <c r="B116">
        <v>28</v>
      </c>
      <c r="C116" t="s">
        <v>33</v>
      </c>
      <c r="D116" s="2">
        <v>45017</v>
      </c>
      <c r="E116" s="2">
        <v>45047</v>
      </c>
      <c r="F116">
        <v>1</v>
      </c>
      <c r="G116" t="s">
        <v>40</v>
      </c>
      <c r="H116">
        <v>5</v>
      </c>
      <c r="I116" t="s">
        <v>71</v>
      </c>
      <c r="J116">
        <v>47537</v>
      </c>
      <c r="K116" t="s">
        <v>25</v>
      </c>
      <c r="L116" t="s">
        <v>26</v>
      </c>
      <c r="M116" t="s">
        <v>27</v>
      </c>
      <c r="N116" s="2">
        <v>44986</v>
      </c>
      <c r="O116" s="2">
        <v>44986.75</v>
      </c>
      <c r="P116" t="s">
        <v>37</v>
      </c>
      <c r="Q116" t="s">
        <v>29</v>
      </c>
      <c r="R116" t="s">
        <v>30</v>
      </c>
      <c r="S116">
        <v>8</v>
      </c>
      <c r="T116">
        <v>8</v>
      </c>
      <c r="U116" t="s">
        <v>31</v>
      </c>
      <c r="V116" t="str">
        <f t="shared" si="1"/>
        <v>Apr-2023</v>
      </c>
      <c r="W116" s="16">
        <f>Table1[[#This Row],[Consultation Date]] - Table1[[#This Row],[Appointment Date]]</f>
        <v>0.75</v>
      </c>
    </row>
    <row r="117" spans="1:23" x14ac:dyDescent="0.3">
      <c r="A117" t="s">
        <v>174</v>
      </c>
      <c r="B117">
        <v>7</v>
      </c>
      <c r="C117" t="s">
        <v>52</v>
      </c>
      <c r="D117" s="2">
        <v>45196</v>
      </c>
      <c r="E117" s="2">
        <v>45199</v>
      </c>
      <c r="F117">
        <v>3</v>
      </c>
      <c r="G117" t="s">
        <v>23</v>
      </c>
      <c r="H117">
        <v>4</v>
      </c>
      <c r="I117" t="s">
        <v>35</v>
      </c>
      <c r="J117">
        <v>28286</v>
      </c>
      <c r="K117" t="s">
        <v>60</v>
      </c>
      <c r="L117" t="s">
        <v>54</v>
      </c>
      <c r="M117" t="s">
        <v>41</v>
      </c>
      <c r="N117" s="2">
        <v>45195</v>
      </c>
      <c r="O117" s="2">
        <v>45196.333333333336</v>
      </c>
      <c r="P117" t="s">
        <v>55</v>
      </c>
      <c r="Q117" t="s">
        <v>29</v>
      </c>
      <c r="R117" t="s">
        <v>43</v>
      </c>
      <c r="S117">
        <v>8</v>
      </c>
      <c r="T117">
        <v>12</v>
      </c>
      <c r="U117" t="s">
        <v>31</v>
      </c>
      <c r="V117" t="str">
        <f t="shared" si="1"/>
        <v>Sep-2023</v>
      </c>
      <c r="W117" s="16">
        <f>Table1[[#This Row],[Consultation Date]] - Table1[[#This Row],[Appointment Date]]</f>
        <v>1.3333333333357587</v>
      </c>
    </row>
    <row r="118" spans="1:23" x14ac:dyDescent="0.3">
      <c r="A118" t="s">
        <v>175</v>
      </c>
      <c r="B118">
        <v>73</v>
      </c>
      <c r="C118" t="s">
        <v>33</v>
      </c>
      <c r="D118" s="2">
        <v>45439</v>
      </c>
      <c r="E118" s="2">
        <v>45510</v>
      </c>
      <c r="F118">
        <v>12</v>
      </c>
      <c r="G118" t="s">
        <v>57</v>
      </c>
      <c r="H118">
        <v>1</v>
      </c>
      <c r="I118" t="s">
        <v>66</v>
      </c>
      <c r="J118">
        <v>12612</v>
      </c>
      <c r="K118" t="s">
        <v>25</v>
      </c>
      <c r="L118" t="s">
        <v>26</v>
      </c>
      <c r="M118" t="s">
        <v>27</v>
      </c>
      <c r="N118" s="2">
        <v>45437</v>
      </c>
      <c r="O118" s="2">
        <v>45437.416666666664</v>
      </c>
      <c r="P118" t="s">
        <v>64</v>
      </c>
      <c r="Q118" t="s">
        <v>29</v>
      </c>
      <c r="R118" t="s">
        <v>47</v>
      </c>
      <c r="S118">
        <v>5</v>
      </c>
      <c r="T118">
        <v>10</v>
      </c>
      <c r="U118" t="s">
        <v>31</v>
      </c>
      <c r="V118" t="str">
        <f t="shared" si="1"/>
        <v>May-2024</v>
      </c>
      <c r="W118" s="16">
        <f>Table1[[#This Row],[Consultation Date]] - Table1[[#This Row],[Appointment Date]]</f>
        <v>0.41666666666424135</v>
      </c>
    </row>
    <row r="119" spans="1:23" x14ac:dyDescent="0.3">
      <c r="A119" t="s">
        <v>176</v>
      </c>
      <c r="B119">
        <v>72</v>
      </c>
      <c r="C119" t="s">
        <v>33</v>
      </c>
      <c r="D119" s="2">
        <v>44964</v>
      </c>
      <c r="E119" s="2">
        <v>45176</v>
      </c>
      <c r="F119">
        <v>7</v>
      </c>
      <c r="G119" t="s">
        <v>57</v>
      </c>
      <c r="H119">
        <v>1</v>
      </c>
      <c r="I119" t="s">
        <v>24</v>
      </c>
      <c r="J119">
        <v>37069</v>
      </c>
      <c r="K119" t="s">
        <v>36</v>
      </c>
      <c r="L119" t="s">
        <v>26</v>
      </c>
      <c r="M119" t="s">
        <v>27</v>
      </c>
      <c r="N119" s="2">
        <v>45104</v>
      </c>
      <c r="O119" s="2">
        <v>45104.208333333336</v>
      </c>
      <c r="P119" t="s">
        <v>55</v>
      </c>
      <c r="Q119" t="s">
        <v>29</v>
      </c>
      <c r="R119" t="s">
        <v>47</v>
      </c>
      <c r="S119">
        <v>7</v>
      </c>
      <c r="T119">
        <v>10</v>
      </c>
      <c r="U119" t="s">
        <v>31</v>
      </c>
      <c r="V119" t="str">
        <f t="shared" si="1"/>
        <v>Feb-2023</v>
      </c>
      <c r="W119" s="16">
        <f>Table1[[#This Row],[Consultation Date]] - Table1[[#This Row],[Appointment Date]]</f>
        <v>0.20833333333575865</v>
      </c>
    </row>
    <row r="120" spans="1:23" x14ac:dyDescent="0.3">
      <c r="A120" t="s">
        <v>177</v>
      </c>
      <c r="B120">
        <v>12</v>
      </c>
      <c r="C120" t="s">
        <v>52</v>
      </c>
      <c r="D120" s="2">
        <v>45357</v>
      </c>
      <c r="E120" s="2">
        <v>45632</v>
      </c>
      <c r="F120">
        <v>9</v>
      </c>
      <c r="G120" t="s">
        <v>63</v>
      </c>
      <c r="H120">
        <v>1</v>
      </c>
      <c r="I120" t="s">
        <v>71</v>
      </c>
      <c r="J120">
        <v>21205</v>
      </c>
      <c r="K120" t="s">
        <v>67</v>
      </c>
      <c r="L120" t="s">
        <v>26</v>
      </c>
      <c r="M120" t="s">
        <v>41</v>
      </c>
      <c r="N120" s="2">
        <v>45328</v>
      </c>
      <c r="O120" s="2">
        <v>45328.458333333336</v>
      </c>
      <c r="P120" t="s">
        <v>37</v>
      </c>
      <c r="Q120" t="s">
        <v>29</v>
      </c>
      <c r="R120" t="s">
        <v>47</v>
      </c>
      <c r="S120">
        <v>4</v>
      </c>
      <c r="T120">
        <v>8</v>
      </c>
      <c r="U120" t="s">
        <v>48</v>
      </c>
      <c r="V120" t="str">
        <f t="shared" si="1"/>
        <v>Mar-2024</v>
      </c>
      <c r="W120" s="16">
        <f>Table1[[#This Row],[Consultation Date]] - Table1[[#This Row],[Appointment Date]]</f>
        <v>0.45833333333575865</v>
      </c>
    </row>
    <row r="121" spans="1:23" x14ac:dyDescent="0.3">
      <c r="A121" t="s">
        <v>178</v>
      </c>
      <c r="B121">
        <v>34</v>
      </c>
      <c r="C121" t="s">
        <v>62</v>
      </c>
      <c r="D121" s="2">
        <v>45035</v>
      </c>
      <c r="E121" s="2">
        <v>45037</v>
      </c>
      <c r="F121">
        <v>2</v>
      </c>
      <c r="G121" t="s">
        <v>34</v>
      </c>
      <c r="H121">
        <v>4</v>
      </c>
      <c r="I121" t="s">
        <v>71</v>
      </c>
      <c r="J121">
        <v>32331</v>
      </c>
      <c r="K121" t="s">
        <v>36</v>
      </c>
      <c r="L121" t="s">
        <v>26</v>
      </c>
      <c r="M121" t="s">
        <v>27</v>
      </c>
      <c r="N121" s="2">
        <v>45033</v>
      </c>
      <c r="O121" s="2">
        <v>45034.166666666664</v>
      </c>
      <c r="P121" t="s">
        <v>42</v>
      </c>
      <c r="Q121" t="s">
        <v>29</v>
      </c>
      <c r="R121" t="s">
        <v>47</v>
      </c>
      <c r="S121">
        <v>10</v>
      </c>
      <c r="T121">
        <v>12</v>
      </c>
      <c r="U121" t="s">
        <v>68</v>
      </c>
      <c r="V121" t="str">
        <f t="shared" si="1"/>
        <v>Apr-2023</v>
      </c>
      <c r="W121" s="16">
        <f>Table1[[#This Row],[Consultation Date]] - Table1[[#This Row],[Appointment Date]]</f>
        <v>1.1666666666642413</v>
      </c>
    </row>
    <row r="122" spans="1:23" x14ac:dyDescent="0.3">
      <c r="A122" t="s">
        <v>179</v>
      </c>
      <c r="B122">
        <v>33</v>
      </c>
      <c r="C122" t="s">
        <v>45</v>
      </c>
      <c r="D122" s="2">
        <v>44968</v>
      </c>
      <c r="E122" s="2">
        <v>45244</v>
      </c>
      <c r="F122">
        <v>12</v>
      </c>
      <c r="G122" t="s">
        <v>34</v>
      </c>
      <c r="H122">
        <v>2</v>
      </c>
      <c r="I122" t="s">
        <v>35</v>
      </c>
      <c r="J122">
        <v>18934</v>
      </c>
      <c r="K122" t="s">
        <v>53</v>
      </c>
      <c r="L122" t="s">
        <v>26</v>
      </c>
      <c r="M122" t="s">
        <v>27</v>
      </c>
      <c r="N122" s="2">
        <v>45228</v>
      </c>
      <c r="O122" s="2">
        <v>45228.75</v>
      </c>
      <c r="P122" t="s">
        <v>55</v>
      </c>
      <c r="Q122" t="s">
        <v>29</v>
      </c>
      <c r="R122" t="s">
        <v>47</v>
      </c>
      <c r="S122">
        <v>4</v>
      </c>
      <c r="T122">
        <v>12</v>
      </c>
      <c r="U122" t="s">
        <v>31</v>
      </c>
      <c r="V122" t="str">
        <f t="shared" si="1"/>
        <v>Feb-2023</v>
      </c>
      <c r="W122" s="16">
        <f>Table1[[#This Row],[Consultation Date]] - Table1[[#This Row],[Appointment Date]]</f>
        <v>0.75</v>
      </c>
    </row>
    <row r="123" spans="1:23" x14ac:dyDescent="0.3">
      <c r="A123" t="s">
        <v>180</v>
      </c>
      <c r="B123">
        <v>48</v>
      </c>
      <c r="C123" t="s">
        <v>22</v>
      </c>
      <c r="D123" s="2">
        <v>45357</v>
      </c>
      <c r="E123" s="2">
        <v>45418</v>
      </c>
      <c r="F123">
        <v>2</v>
      </c>
      <c r="G123" t="s">
        <v>23</v>
      </c>
      <c r="H123">
        <v>5</v>
      </c>
      <c r="I123" t="s">
        <v>46</v>
      </c>
      <c r="J123">
        <v>15095</v>
      </c>
      <c r="K123" t="s">
        <v>25</v>
      </c>
      <c r="L123" t="s">
        <v>26</v>
      </c>
      <c r="M123" t="s">
        <v>27</v>
      </c>
      <c r="N123" s="2">
        <v>45297</v>
      </c>
      <c r="O123" s="2">
        <v>45328.125</v>
      </c>
      <c r="P123" t="s">
        <v>28</v>
      </c>
      <c r="Q123" t="s">
        <v>29</v>
      </c>
      <c r="R123" t="s">
        <v>47</v>
      </c>
      <c r="S123">
        <v>4</v>
      </c>
      <c r="T123">
        <v>12</v>
      </c>
      <c r="U123" t="s">
        <v>31</v>
      </c>
      <c r="V123" t="str">
        <f t="shared" si="1"/>
        <v>Mar-2024</v>
      </c>
      <c r="W123" s="16">
        <f>Table1[[#This Row],[Consultation Date]] - Table1[[#This Row],[Appointment Date]]</f>
        <v>31.125</v>
      </c>
    </row>
    <row r="124" spans="1:23" x14ac:dyDescent="0.3">
      <c r="A124" t="s">
        <v>181</v>
      </c>
      <c r="B124">
        <v>23</v>
      </c>
      <c r="C124" t="s">
        <v>33</v>
      </c>
      <c r="D124" s="2">
        <v>45130</v>
      </c>
      <c r="E124" s="2">
        <v>45138</v>
      </c>
      <c r="F124">
        <v>8</v>
      </c>
      <c r="G124" t="s">
        <v>63</v>
      </c>
      <c r="H124">
        <v>4</v>
      </c>
      <c r="I124" t="s">
        <v>24</v>
      </c>
      <c r="J124">
        <v>30958</v>
      </c>
      <c r="K124" t="s">
        <v>67</v>
      </c>
      <c r="L124" t="s">
        <v>54</v>
      </c>
      <c r="M124" t="s">
        <v>41</v>
      </c>
      <c r="N124" s="2">
        <v>45130</v>
      </c>
      <c r="O124" s="2">
        <v>45130.833333333336</v>
      </c>
      <c r="P124" t="s">
        <v>42</v>
      </c>
      <c r="Q124" t="s">
        <v>29</v>
      </c>
      <c r="R124" t="s">
        <v>30</v>
      </c>
      <c r="S124">
        <v>9</v>
      </c>
      <c r="T124">
        <v>8</v>
      </c>
      <c r="U124" t="s">
        <v>48</v>
      </c>
      <c r="V124" t="str">
        <f t="shared" si="1"/>
        <v>Jul-2023</v>
      </c>
      <c r="W124" s="16">
        <f>Table1[[#This Row],[Consultation Date]] - Table1[[#This Row],[Appointment Date]]</f>
        <v>0.83333333333575865</v>
      </c>
    </row>
    <row r="125" spans="1:23" x14ac:dyDescent="0.3">
      <c r="A125" t="s">
        <v>182</v>
      </c>
      <c r="B125">
        <v>62</v>
      </c>
      <c r="C125" t="s">
        <v>41</v>
      </c>
      <c r="D125" s="2">
        <v>45083</v>
      </c>
      <c r="E125" s="2">
        <v>45091</v>
      </c>
      <c r="F125">
        <v>8</v>
      </c>
      <c r="G125" t="s">
        <v>63</v>
      </c>
      <c r="H125">
        <v>2</v>
      </c>
      <c r="I125" t="s">
        <v>66</v>
      </c>
      <c r="J125">
        <v>42008</v>
      </c>
      <c r="K125" t="s">
        <v>25</v>
      </c>
      <c r="L125" t="s">
        <v>54</v>
      </c>
      <c r="M125" t="s">
        <v>27</v>
      </c>
      <c r="N125" s="2">
        <v>45022</v>
      </c>
      <c r="O125" s="2">
        <v>45052.291666666664</v>
      </c>
      <c r="P125" t="s">
        <v>42</v>
      </c>
      <c r="Q125" t="s">
        <v>29</v>
      </c>
      <c r="R125" t="s">
        <v>30</v>
      </c>
      <c r="S125">
        <v>10</v>
      </c>
      <c r="T125">
        <v>8</v>
      </c>
      <c r="U125" t="s">
        <v>48</v>
      </c>
      <c r="V125" t="str">
        <f t="shared" si="1"/>
        <v>Jun-2023</v>
      </c>
      <c r="W125" s="16">
        <f>Table1[[#This Row],[Consultation Date]] - Table1[[#This Row],[Appointment Date]]</f>
        <v>30.291666666664241</v>
      </c>
    </row>
    <row r="126" spans="1:23" x14ac:dyDescent="0.3">
      <c r="A126" t="s">
        <v>183</v>
      </c>
      <c r="B126">
        <v>88</v>
      </c>
      <c r="C126" t="s">
        <v>41</v>
      </c>
      <c r="D126" s="2">
        <v>45309</v>
      </c>
      <c r="E126" s="2">
        <v>45322</v>
      </c>
      <c r="F126">
        <v>13</v>
      </c>
      <c r="G126" t="s">
        <v>63</v>
      </c>
      <c r="H126">
        <v>2</v>
      </c>
      <c r="I126" t="s">
        <v>71</v>
      </c>
      <c r="J126">
        <v>23706</v>
      </c>
      <c r="K126" t="s">
        <v>25</v>
      </c>
      <c r="L126" t="s">
        <v>26</v>
      </c>
      <c r="M126" t="s">
        <v>27</v>
      </c>
      <c r="N126" s="2">
        <v>45308</v>
      </c>
      <c r="O126" s="2">
        <v>45308.208333333336</v>
      </c>
      <c r="P126" t="s">
        <v>37</v>
      </c>
      <c r="Q126" t="s">
        <v>29</v>
      </c>
      <c r="R126" t="s">
        <v>43</v>
      </c>
      <c r="S126">
        <v>6</v>
      </c>
      <c r="T126">
        <v>10</v>
      </c>
      <c r="U126" t="s">
        <v>68</v>
      </c>
      <c r="V126" t="str">
        <f t="shared" si="1"/>
        <v>Jan-2024</v>
      </c>
      <c r="W126" s="16">
        <f>Table1[[#This Row],[Consultation Date]] - Table1[[#This Row],[Appointment Date]]</f>
        <v>0.20833333333575865</v>
      </c>
    </row>
    <row r="127" spans="1:23" x14ac:dyDescent="0.3">
      <c r="A127" t="s">
        <v>184</v>
      </c>
      <c r="B127">
        <v>37</v>
      </c>
      <c r="C127" t="s">
        <v>45</v>
      </c>
      <c r="D127" s="2">
        <v>45092</v>
      </c>
      <c r="E127" s="2">
        <v>45098</v>
      </c>
      <c r="F127">
        <v>6</v>
      </c>
      <c r="G127" t="s">
        <v>23</v>
      </c>
      <c r="H127">
        <v>4</v>
      </c>
      <c r="I127" t="s">
        <v>71</v>
      </c>
      <c r="J127">
        <v>48516</v>
      </c>
      <c r="K127" t="s">
        <v>60</v>
      </c>
      <c r="L127" t="s">
        <v>26</v>
      </c>
      <c r="M127" t="s">
        <v>27</v>
      </c>
      <c r="N127" s="2">
        <v>45205</v>
      </c>
      <c r="O127" s="2">
        <v>45236</v>
      </c>
      <c r="P127" t="s">
        <v>37</v>
      </c>
      <c r="Q127" t="s">
        <v>29</v>
      </c>
      <c r="R127" t="s">
        <v>30</v>
      </c>
      <c r="S127">
        <v>7</v>
      </c>
      <c r="T127">
        <v>12</v>
      </c>
      <c r="U127" t="s">
        <v>68</v>
      </c>
      <c r="V127" t="str">
        <f t="shared" si="1"/>
        <v>Jun-2023</v>
      </c>
      <c r="W127" s="16">
        <f>Table1[[#This Row],[Consultation Date]] - Table1[[#This Row],[Appointment Date]]</f>
        <v>31</v>
      </c>
    </row>
    <row r="128" spans="1:23" x14ac:dyDescent="0.3">
      <c r="A128" t="s">
        <v>185</v>
      </c>
      <c r="B128">
        <v>44</v>
      </c>
      <c r="C128" t="s">
        <v>41</v>
      </c>
      <c r="D128" s="2">
        <v>44927</v>
      </c>
      <c r="E128" s="2">
        <v>45200</v>
      </c>
      <c r="F128">
        <v>9</v>
      </c>
      <c r="G128" t="s">
        <v>34</v>
      </c>
      <c r="H128">
        <v>4</v>
      </c>
      <c r="I128" t="s">
        <v>24</v>
      </c>
      <c r="J128">
        <v>43066</v>
      </c>
      <c r="K128" t="s">
        <v>53</v>
      </c>
      <c r="L128" t="s">
        <v>54</v>
      </c>
      <c r="M128" t="s">
        <v>27</v>
      </c>
      <c r="N128" s="2">
        <v>44923</v>
      </c>
      <c r="O128" s="2">
        <v>44923.708333333336</v>
      </c>
      <c r="P128" t="s">
        <v>64</v>
      </c>
      <c r="Q128" t="s">
        <v>29</v>
      </c>
      <c r="R128" t="s">
        <v>47</v>
      </c>
      <c r="S128">
        <v>10</v>
      </c>
      <c r="T128">
        <v>8</v>
      </c>
      <c r="U128" t="s">
        <v>48</v>
      </c>
      <c r="V128" t="str">
        <f t="shared" si="1"/>
        <v>Jan-2023</v>
      </c>
      <c r="W128" s="16">
        <f>Table1[[#This Row],[Consultation Date]] - Table1[[#This Row],[Appointment Date]]</f>
        <v>0.70833333333575865</v>
      </c>
    </row>
    <row r="129" spans="1:23" x14ac:dyDescent="0.3">
      <c r="A129" t="s">
        <v>186</v>
      </c>
      <c r="B129">
        <v>86</v>
      </c>
      <c r="C129" t="s">
        <v>62</v>
      </c>
      <c r="D129" s="2">
        <v>45258</v>
      </c>
      <c r="E129" s="2">
        <v>45150</v>
      </c>
      <c r="F129">
        <v>10</v>
      </c>
      <c r="G129" t="s">
        <v>63</v>
      </c>
      <c r="H129">
        <v>2</v>
      </c>
      <c r="I129" t="s">
        <v>46</v>
      </c>
      <c r="J129">
        <v>36472</v>
      </c>
      <c r="K129" t="s">
        <v>25</v>
      </c>
      <c r="L129" t="s">
        <v>54</v>
      </c>
      <c r="M129" t="s">
        <v>27</v>
      </c>
      <c r="N129" s="2">
        <v>45256</v>
      </c>
      <c r="O129" s="2">
        <v>45256.666666666664</v>
      </c>
      <c r="P129" t="s">
        <v>64</v>
      </c>
      <c r="Q129" t="s">
        <v>38</v>
      </c>
      <c r="R129" t="s">
        <v>30</v>
      </c>
      <c r="S129">
        <v>4</v>
      </c>
      <c r="T129">
        <v>12</v>
      </c>
      <c r="U129" t="s">
        <v>31</v>
      </c>
      <c r="V129" t="str">
        <f t="shared" si="1"/>
        <v>Nov-2023</v>
      </c>
      <c r="W129" s="16">
        <f>Table1[[#This Row],[Consultation Date]] - Table1[[#This Row],[Appointment Date]]</f>
        <v>0.66666666666424135</v>
      </c>
    </row>
    <row r="130" spans="1:23" x14ac:dyDescent="0.3">
      <c r="A130" t="s">
        <v>187</v>
      </c>
      <c r="B130">
        <v>35</v>
      </c>
      <c r="C130" t="s">
        <v>41</v>
      </c>
      <c r="D130" s="2">
        <v>45427</v>
      </c>
      <c r="E130" s="2">
        <v>45429</v>
      </c>
      <c r="F130">
        <v>2</v>
      </c>
      <c r="G130" t="s">
        <v>50</v>
      </c>
      <c r="H130">
        <v>2</v>
      </c>
      <c r="I130" t="s">
        <v>71</v>
      </c>
      <c r="J130">
        <v>39629</v>
      </c>
      <c r="K130" t="s">
        <v>36</v>
      </c>
      <c r="L130" t="s">
        <v>54</v>
      </c>
      <c r="M130" t="s">
        <v>27</v>
      </c>
      <c r="N130" s="2">
        <v>45426</v>
      </c>
      <c r="O130" s="2">
        <v>45427.958333333336</v>
      </c>
      <c r="P130" t="s">
        <v>28</v>
      </c>
      <c r="Q130" t="s">
        <v>29</v>
      </c>
      <c r="R130" t="s">
        <v>43</v>
      </c>
      <c r="S130">
        <v>10</v>
      </c>
      <c r="T130">
        <v>8</v>
      </c>
      <c r="U130" t="s">
        <v>31</v>
      </c>
      <c r="V130" t="str">
        <f t="shared" ref="V130:V193" si="2">TEXT(D130,"mmm-yyyy")</f>
        <v>May-2024</v>
      </c>
      <c r="W130" s="16">
        <f>Table1[[#This Row],[Consultation Date]] - Table1[[#This Row],[Appointment Date]]</f>
        <v>1.9583333333357587</v>
      </c>
    </row>
    <row r="131" spans="1:23" x14ac:dyDescent="0.3">
      <c r="A131" t="s">
        <v>188</v>
      </c>
      <c r="B131">
        <v>65</v>
      </c>
      <c r="C131" t="s">
        <v>22</v>
      </c>
      <c r="D131" s="2">
        <v>44946</v>
      </c>
      <c r="E131" s="2">
        <v>44954</v>
      </c>
      <c r="F131">
        <v>8</v>
      </c>
      <c r="G131" t="s">
        <v>57</v>
      </c>
      <c r="H131">
        <v>2</v>
      </c>
      <c r="I131" t="s">
        <v>24</v>
      </c>
      <c r="J131">
        <v>28004</v>
      </c>
      <c r="K131" t="s">
        <v>36</v>
      </c>
      <c r="L131" t="s">
        <v>54</v>
      </c>
      <c r="M131" t="s">
        <v>27</v>
      </c>
      <c r="N131" s="2">
        <v>44941</v>
      </c>
      <c r="O131" s="2">
        <v>44942.708333333336</v>
      </c>
      <c r="P131" t="s">
        <v>42</v>
      </c>
      <c r="Q131" t="s">
        <v>29</v>
      </c>
      <c r="R131" t="s">
        <v>47</v>
      </c>
      <c r="S131">
        <v>6</v>
      </c>
      <c r="T131">
        <v>10</v>
      </c>
      <c r="U131" t="s">
        <v>31</v>
      </c>
      <c r="V131" t="str">
        <f t="shared" si="2"/>
        <v>Jan-2023</v>
      </c>
      <c r="W131" s="16">
        <f>Table1[[#This Row],[Consultation Date]] - Table1[[#This Row],[Appointment Date]]</f>
        <v>1.7083333333357587</v>
      </c>
    </row>
    <row r="132" spans="1:23" x14ac:dyDescent="0.3">
      <c r="A132" t="s">
        <v>189</v>
      </c>
      <c r="B132">
        <v>47</v>
      </c>
      <c r="C132" t="s">
        <v>22</v>
      </c>
      <c r="D132" s="2">
        <v>45041</v>
      </c>
      <c r="E132" s="2">
        <v>45021</v>
      </c>
      <c r="F132">
        <v>9</v>
      </c>
      <c r="G132" t="s">
        <v>57</v>
      </c>
      <c r="H132">
        <v>4</v>
      </c>
      <c r="I132" t="s">
        <v>35</v>
      </c>
      <c r="J132">
        <v>25431</v>
      </c>
      <c r="K132" t="s">
        <v>60</v>
      </c>
      <c r="L132" t="s">
        <v>26</v>
      </c>
      <c r="M132" t="s">
        <v>27</v>
      </c>
      <c r="N132" s="2">
        <v>45039</v>
      </c>
      <c r="O132" s="2">
        <v>45040.333333333336</v>
      </c>
      <c r="P132" t="s">
        <v>28</v>
      </c>
      <c r="Q132" t="s">
        <v>29</v>
      </c>
      <c r="R132" t="s">
        <v>30</v>
      </c>
      <c r="S132">
        <v>8</v>
      </c>
      <c r="T132">
        <v>12</v>
      </c>
      <c r="U132" t="s">
        <v>68</v>
      </c>
      <c r="V132" t="str">
        <f t="shared" si="2"/>
        <v>Apr-2023</v>
      </c>
      <c r="W132" s="16">
        <f>Table1[[#This Row],[Consultation Date]] - Table1[[#This Row],[Appointment Date]]</f>
        <v>1.3333333333357587</v>
      </c>
    </row>
    <row r="133" spans="1:23" x14ac:dyDescent="0.3">
      <c r="A133" t="s">
        <v>190</v>
      </c>
      <c r="B133">
        <v>78</v>
      </c>
      <c r="C133" t="s">
        <v>33</v>
      </c>
      <c r="D133" s="2">
        <v>45474</v>
      </c>
      <c r="E133" s="2">
        <v>45597</v>
      </c>
      <c r="F133">
        <v>4</v>
      </c>
      <c r="G133" t="s">
        <v>40</v>
      </c>
      <c r="H133">
        <v>2</v>
      </c>
      <c r="I133" t="s">
        <v>46</v>
      </c>
      <c r="J133">
        <v>45088</v>
      </c>
      <c r="K133" t="s">
        <v>53</v>
      </c>
      <c r="L133" t="s">
        <v>26</v>
      </c>
      <c r="M133" t="s">
        <v>41</v>
      </c>
      <c r="N133" s="2">
        <v>45352</v>
      </c>
      <c r="O133" s="2">
        <v>45383.625</v>
      </c>
      <c r="P133" t="s">
        <v>28</v>
      </c>
      <c r="Q133" t="s">
        <v>38</v>
      </c>
      <c r="R133" t="s">
        <v>30</v>
      </c>
      <c r="S133">
        <v>5</v>
      </c>
      <c r="T133">
        <v>8</v>
      </c>
      <c r="U133" t="s">
        <v>31</v>
      </c>
      <c r="V133" t="str">
        <f t="shared" si="2"/>
        <v>Jul-2024</v>
      </c>
      <c r="W133" s="16">
        <f>Table1[[#This Row],[Consultation Date]] - Table1[[#This Row],[Appointment Date]]</f>
        <v>31.625</v>
      </c>
    </row>
    <row r="134" spans="1:23" x14ac:dyDescent="0.3">
      <c r="A134" t="s">
        <v>191</v>
      </c>
      <c r="B134">
        <v>3</v>
      </c>
      <c r="C134" t="s">
        <v>52</v>
      </c>
      <c r="D134" s="2">
        <v>45241</v>
      </c>
      <c r="E134" s="2">
        <v>45251</v>
      </c>
      <c r="F134">
        <v>10</v>
      </c>
      <c r="G134" t="s">
        <v>40</v>
      </c>
      <c r="H134">
        <v>1</v>
      </c>
      <c r="I134" t="s">
        <v>66</v>
      </c>
      <c r="J134">
        <v>49135</v>
      </c>
      <c r="K134" t="s">
        <v>53</v>
      </c>
      <c r="L134" t="s">
        <v>54</v>
      </c>
      <c r="M134" t="s">
        <v>27</v>
      </c>
      <c r="N134" s="2">
        <v>45118</v>
      </c>
      <c r="O134" s="2">
        <v>45149.666666666664</v>
      </c>
      <c r="P134" t="s">
        <v>37</v>
      </c>
      <c r="Q134" t="s">
        <v>29</v>
      </c>
      <c r="R134" t="s">
        <v>43</v>
      </c>
      <c r="S134">
        <v>7</v>
      </c>
      <c r="T134">
        <v>12</v>
      </c>
      <c r="U134" t="s">
        <v>31</v>
      </c>
      <c r="V134" t="str">
        <f t="shared" si="2"/>
        <v>Nov-2023</v>
      </c>
      <c r="W134" s="16">
        <f>Table1[[#This Row],[Consultation Date]] - Table1[[#This Row],[Appointment Date]]</f>
        <v>31.666666666664241</v>
      </c>
    </row>
    <row r="135" spans="1:23" x14ac:dyDescent="0.3">
      <c r="A135" t="s">
        <v>192</v>
      </c>
      <c r="B135">
        <v>1</v>
      </c>
      <c r="C135" t="s">
        <v>62</v>
      </c>
      <c r="D135" s="2">
        <v>44994</v>
      </c>
      <c r="E135" s="2">
        <v>45025</v>
      </c>
      <c r="F135">
        <v>1</v>
      </c>
      <c r="G135" t="s">
        <v>23</v>
      </c>
      <c r="H135">
        <v>4</v>
      </c>
      <c r="I135" t="s">
        <v>71</v>
      </c>
      <c r="J135">
        <v>43015</v>
      </c>
      <c r="K135" t="s">
        <v>36</v>
      </c>
      <c r="L135" t="s">
        <v>26</v>
      </c>
      <c r="M135" t="s">
        <v>41</v>
      </c>
      <c r="N135" s="2">
        <v>44994</v>
      </c>
      <c r="O135" s="2">
        <v>44994.541666666664</v>
      </c>
      <c r="P135" t="s">
        <v>28</v>
      </c>
      <c r="Q135" t="s">
        <v>29</v>
      </c>
      <c r="R135" t="s">
        <v>47</v>
      </c>
      <c r="S135">
        <v>7</v>
      </c>
      <c r="T135">
        <v>8</v>
      </c>
      <c r="U135" t="s">
        <v>48</v>
      </c>
      <c r="V135" t="str">
        <f t="shared" si="2"/>
        <v>Mar-2023</v>
      </c>
      <c r="W135" s="16">
        <f>Table1[[#This Row],[Consultation Date]] - Table1[[#This Row],[Appointment Date]]</f>
        <v>0.54166666666424135</v>
      </c>
    </row>
    <row r="136" spans="1:23" x14ac:dyDescent="0.3">
      <c r="A136" t="s">
        <v>193</v>
      </c>
      <c r="B136">
        <v>5</v>
      </c>
      <c r="C136" t="s">
        <v>33</v>
      </c>
      <c r="D136" s="2">
        <v>44929</v>
      </c>
      <c r="E136" s="2">
        <v>44998</v>
      </c>
      <c r="F136">
        <v>12</v>
      </c>
      <c r="G136" t="s">
        <v>23</v>
      </c>
      <c r="H136">
        <v>1</v>
      </c>
      <c r="I136" t="s">
        <v>24</v>
      </c>
      <c r="J136">
        <v>39502</v>
      </c>
      <c r="K136" t="s">
        <v>67</v>
      </c>
      <c r="L136" t="s">
        <v>54</v>
      </c>
      <c r="M136" t="s">
        <v>27</v>
      </c>
      <c r="N136" s="2">
        <v>44982</v>
      </c>
      <c r="O136" s="2">
        <v>44983.25</v>
      </c>
      <c r="P136" t="s">
        <v>28</v>
      </c>
      <c r="Q136" t="s">
        <v>29</v>
      </c>
      <c r="R136" t="s">
        <v>43</v>
      </c>
      <c r="S136">
        <v>9</v>
      </c>
      <c r="T136">
        <v>8</v>
      </c>
      <c r="U136" t="s">
        <v>31</v>
      </c>
      <c r="V136" t="str">
        <f t="shared" si="2"/>
        <v>Jan-2023</v>
      </c>
      <c r="W136" s="16">
        <f>Table1[[#This Row],[Consultation Date]] - Table1[[#This Row],[Appointment Date]]</f>
        <v>1.25</v>
      </c>
    </row>
    <row r="137" spans="1:23" x14ac:dyDescent="0.3">
      <c r="A137" t="s">
        <v>194</v>
      </c>
      <c r="B137">
        <v>14</v>
      </c>
      <c r="C137" t="s">
        <v>62</v>
      </c>
      <c r="D137" s="2">
        <v>45025</v>
      </c>
      <c r="E137" s="2">
        <v>45186</v>
      </c>
      <c r="F137">
        <v>13</v>
      </c>
      <c r="G137" t="s">
        <v>57</v>
      </c>
      <c r="H137">
        <v>3</v>
      </c>
      <c r="I137" t="s">
        <v>35</v>
      </c>
      <c r="J137">
        <v>36385</v>
      </c>
      <c r="K137" t="s">
        <v>60</v>
      </c>
      <c r="L137" t="s">
        <v>26</v>
      </c>
      <c r="M137" t="s">
        <v>27</v>
      </c>
      <c r="N137" s="2">
        <v>45168</v>
      </c>
      <c r="O137" s="2">
        <v>45168.291666666664</v>
      </c>
      <c r="P137" t="s">
        <v>55</v>
      </c>
      <c r="Q137" t="s">
        <v>29</v>
      </c>
      <c r="R137" t="s">
        <v>47</v>
      </c>
      <c r="S137">
        <v>8</v>
      </c>
      <c r="T137">
        <v>8</v>
      </c>
      <c r="U137" t="s">
        <v>48</v>
      </c>
      <c r="V137" t="str">
        <f t="shared" si="2"/>
        <v>Apr-2023</v>
      </c>
      <c r="W137" s="16">
        <f>Table1[[#This Row],[Consultation Date]] - Table1[[#This Row],[Appointment Date]]</f>
        <v>0.29166666666424135</v>
      </c>
    </row>
    <row r="138" spans="1:23" x14ac:dyDescent="0.3">
      <c r="A138" t="s">
        <v>195</v>
      </c>
      <c r="B138">
        <v>27</v>
      </c>
      <c r="C138" t="s">
        <v>52</v>
      </c>
      <c r="D138" s="2">
        <v>45007</v>
      </c>
      <c r="E138" s="2">
        <v>45081</v>
      </c>
      <c r="F138">
        <v>15</v>
      </c>
      <c r="G138" t="s">
        <v>50</v>
      </c>
      <c r="H138">
        <v>4</v>
      </c>
      <c r="I138" t="s">
        <v>66</v>
      </c>
      <c r="J138">
        <v>9663</v>
      </c>
      <c r="K138" t="s">
        <v>60</v>
      </c>
      <c r="L138" t="s">
        <v>54</v>
      </c>
      <c r="M138" t="s">
        <v>27</v>
      </c>
      <c r="N138" s="2">
        <v>45006</v>
      </c>
      <c r="O138" s="2">
        <v>45006.375</v>
      </c>
      <c r="P138" t="s">
        <v>64</v>
      </c>
      <c r="Q138" t="s">
        <v>29</v>
      </c>
      <c r="R138" t="s">
        <v>47</v>
      </c>
      <c r="S138">
        <v>7</v>
      </c>
      <c r="T138">
        <v>12</v>
      </c>
      <c r="U138" t="s">
        <v>31</v>
      </c>
      <c r="V138" t="str">
        <f t="shared" si="2"/>
        <v>Mar-2023</v>
      </c>
      <c r="W138" s="16">
        <f>Table1[[#This Row],[Consultation Date]] - Table1[[#This Row],[Appointment Date]]</f>
        <v>0.375</v>
      </c>
    </row>
    <row r="139" spans="1:23" x14ac:dyDescent="0.3">
      <c r="A139" t="s">
        <v>196</v>
      </c>
      <c r="B139">
        <v>9</v>
      </c>
      <c r="C139" t="s">
        <v>41</v>
      </c>
      <c r="D139" s="2">
        <v>45014</v>
      </c>
      <c r="E139" s="2">
        <v>45264</v>
      </c>
      <c r="F139">
        <v>14</v>
      </c>
      <c r="G139" t="s">
        <v>34</v>
      </c>
      <c r="H139">
        <v>3</v>
      </c>
      <c r="I139" t="s">
        <v>24</v>
      </c>
      <c r="J139">
        <v>43677</v>
      </c>
      <c r="K139" t="s">
        <v>36</v>
      </c>
      <c r="L139" t="s">
        <v>26</v>
      </c>
      <c r="M139" t="s">
        <v>27</v>
      </c>
      <c r="N139" s="2">
        <v>45010</v>
      </c>
      <c r="O139" s="2">
        <v>45010.833333333336</v>
      </c>
      <c r="P139" t="s">
        <v>64</v>
      </c>
      <c r="Q139" t="s">
        <v>29</v>
      </c>
      <c r="R139" t="s">
        <v>30</v>
      </c>
      <c r="S139">
        <v>9</v>
      </c>
      <c r="T139">
        <v>8</v>
      </c>
      <c r="U139" t="s">
        <v>68</v>
      </c>
      <c r="V139" t="str">
        <f t="shared" si="2"/>
        <v>Mar-2023</v>
      </c>
      <c r="W139" s="16">
        <f>Table1[[#This Row],[Consultation Date]] - Table1[[#This Row],[Appointment Date]]</f>
        <v>0.83333333333575865</v>
      </c>
    </row>
    <row r="140" spans="1:23" x14ac:dyDescent="0.3">
      <c r="A140" t="s">
        <v>197</v>
      </c>
      <c r="B140">
        <v>79</v>
      </c>
      <c r="C140" t="s">
        <v>41</v>
      </c>
      <c r="D140" s="2">
        <v>45631</v>
      </c>
      <c r="E140" s="2">
        <v>45435</v>
      </c>
      <c r="F140">
        <v>11</v>
      </c>
      <c r="G140" t="s">
        <v>34</v>
      </c>
      <c r="H140">
        <v>2</v>
      </c>
      <c r="I140" t="s">
        <v>24</v>
      </c>
      <c r="J140">
        <v>17818</v>
      </c>
      <c r="K140" t="s">
        <v>36</v>
      </c>
      <c r="L140" t="s">
        <v>54</v>
      </c>
      <c r="M140" t="s">
        <v>27</v>
      </c>
      <c r="N140" s="2">
        <v>45509</v>
      </c>
      <c r="O140" s="2">
        <v>45509.041666666664</v>
      </c>
      <c r="P140" t="s">
        <v>42</v>
      </c>
      <c r="Q140" t="s">
        <v>29</v>
      </c>
      <c r="R140" t="s">
        <v>43</v>
      </c>
      <c r="S140">
        <v>9</v>
      </c>
      <c r="T140">
        <v>10</v>
      </c>
      <c r="U140" t="s">
        <v>31</v>
      </c>
      <c r="V140" t="str">
        <f t="shared" si="2"/>
        <v>Dec-2024</v>
      </c>
      <c r="W140" s="16">
        <f>Table1[[#This Row],[Consultation Date]] - Table1[[#This Row],[Appointment Date]]</f>
        <v>4.1666666664241347E-2</v>
      </c>
    </row>
    <row r="141" spans="1:23" x14ac:dyDescent="0.3">
      <c r="A141" t="s">
        <v>198</v>
      </c>
      <c r="B141">
        <v>15</v>
      </c>
      <c r="C141" t="s">
        <v>52</v>
      </c>
      <c r="D141" s="2">
        <v>45263</v>
      </c>
      <c r="E141" s="2">
        <v>45006</v>
      </c>
      <c r="F141">
        <v>9</v>
      </c>
      <c r="G141" t="s">
        <v>23</v>
      </c>
      <c r="H141">
        <v>2</v>
      </c>
      <c r="I141" t="s">
        <v>66</v>
      </c>
      <c r="J141">
        <v>27686</v>
      </c>
      <c r="K141" t="s">
        <v>67</v>
      </c>
      <c r="L141" t="s">
        <v>54</v>
      </c>
      <c r="M141" t="s">
        <v>41</v>
      </c>
      <c r="N141" s="2">
        <v>45233</v>
      </c>
      <c r="O141" s="2">
        <v>45263.083333333336</v>
      </c>
      <c r="P141" t="s">
        <v>64</v>
      </c>
      <c r="Q141" t="s">
        <v>29</v>
      </c>
      <c r="R141" t="s">
        <v>43</v>
      </c>
      <c r="S141">
        <v>9</v>
      </c>
      <c r="T141">
        <v>12</v>
      </c>
      <c r="U141" t="s">
        <v>31</v>
      </c>
      <c r="V141" t="str">
        <f t="shared" si="2"/>
        <v>Dec-2023</v>
      </c>
      <c r="W141" s="16">
        <f>Table1[[#This Row],[Consultation Date]] - Table1[[#This Row],[Appointment Date]]</f>
        <v>30.083333333335759</v>
      </c>
    </row>
    <row r="142" spans="1:23" x14ac:dyDescent="0.3">
      <c r="A142" t="s">
        <v>199</v>
      </c>
      <c r="B142">
        <v>42</v>
      </c>
      <c r="C142" t="s">
        <v>33</v>
      </c>
      <c r="D142" s="2">
        <v>45174</v>
      </c>
      <c r="E142" s="2">
        <v>45060</v>
      </c>
      <c r="F142">
        <v>5</v>
      </c>
      <c r="G142" t="s">
        <v>50</v>
      </c>
      <c r="H142">
        <v>5</v>
      </c>
      <c r="I142" t="s">
        <v>35</v>
      </c>
      <c r="J142">
        <v>28977</v>
      </c>
      <c r="K142" t="s">
        <v>67</v>
      </c>
      <c r="L142" t="s">
        <v>54</v>
      </c>
      <c r="M142" t="s">
        <v>27</v>
      </c>
      <c r="N142" s="2">
        <v>45143</v>
      </c>
      <c r="O142" s="2">
        <v>45143.916666666664</v>
      </c>
      <c r="P142" t="s">
        <v>42</v>
      </c>
      <c r="Q142" t="s">
        <v>29</v>
      </c>
      <c r="R142" t="s">
        <v>43</v>
      </c>
      <c r="S142">
        <v>11</v>
      </c>
      <c r="T142">
        <v>10</v>
      </c>
      <c r="U142" t="s">
        <v>48</v>
      </c>
      <c r="V142" t="str">
        <f t="shared" si="2"/>
        <v>Sep-2023</v>
      </c>
      <c r="W142" s="16">
        <f>Table1[[#This Row],[Consultation Date]] - Table1[[#This Row],[Appointment Date]]</f>
        <v>0.91666666666424135</v>
      </c>
    </row>
    <row r="143" spans="1:23" x14ac:dyDescent="0.3">
      <c r="A143" t="s">
        <v>200</v>
      </c>
      <c r="B143">
        <v>77</v>
      </c>
      <c r="C143" t="s">
        <v>52</v>
      </c>
      <c r="D143" s="2">
        <v>45265</v>
      </c>
      <c r="E143" s="2">
        <v>45066</v>
      </c>
      <c r="F143">
        <v>8</v>
      </c>
      <c r="G143" t="s">
        <v>23</v>
      </c>
      <c r="H143">
        <v>2</v>
      </c>
      <c r="I143" t="s">
        <v>35</v>
      </c>
      <c r="J143">
        <v>45931</v>
      </c>
      <c r="K143" t="s">
        <v>53</v>
      </c>
      <c r="L143" t="s">
        <v>54</v>
      </c>
      <c r="M143" t="s">
        <v>27</v>
      </c>
      <c r="N143" s="2">
        <v>45112</v>
      </c>
      <c r="O143" s="2">
        <v>45143.666666666664</v>
      </c>
      <c r="P143" t="s">
        <v>55</v>
      </c>
      <c r="Q143" t="s">
        <v>29</v>
      </c>
      <c r="R143" t="s">
        <v>47</v>
      </c>
      <c r="S143">
        <v>7</v>
      </c>
      <c r="T143">
        <v>10</v>
      </c>
      <c r="U143" t="s">
        <v>48</v>
      </c>
      <c r="V143" t="str">
        <f t="shared" si="2"/>
        <v>Dec-2023</v>
      </c>
      <c r="W143" s="16">
        <f>Table1[[#This Row],[Consultation Date]] - Table1[[#This Row],[Appointment Date]]</f>
        <v>31.666666666664241</v>
      </c>
    </row>
    <row r="144" spans="1:23" x14ac:dyDescent="0.3">
      <c r="A144" t="s">
        <v>201</v>
      </c>
      <c r="B144">
        <v>51</v>
      </c>
      <c r="C144" t="s">
        <v>45</v>
      </c>
      <c r="D144" s="2">
        <v>45296</v>
      </c>
      <c r="E144" s="2">
        <v>45631</v>
      </c>
      <c r="F144">
        <v>11</v>
      </c>
      <c r="G144" t="s">
        <v>34</v>
      </c>
      <c r="H144">
        <v>3</v>
      </c>
      <c r="I144" t="s">
        <v>46</v>
      </c>
      <c r="J144">
        <v>23454</v>
      </c>
      <c r="K144" t="s">
        <v>60</v>
      </c>
      <c r="L144" t="s">
        <v>54</v>
      </c>
      <c r="M144" t="s">
        <v>41</v>
      </c>
      <c r="N144" s="2">
        <v>45409</v>
      </c>
      <c r="O144" s="2">
        <v>45410.041666666664</v>
      </c>
      <c r="P144" t="s">
        <v>64</v>
      </c>
      <c r="Q144" t="s">
        <v>29</v>
      </c>
      <c r="R144" t="s">
        <v>43</v>
      </c>
      <c r="S144">
        <v>7</v>
      </c>
      <c r="T144">
        <v>12</v>
      </c>
      <c r="U144" t="s">
        <v>48</v>
      </c>
      <c r="V144" t="str">
        <f t="shared" si="2"/>
        <v>Jan-2024</v>
      </c>
      <c r="W144" s="16">
        <f>Table1[[#This Row],[Consultation Date]] - Table1[[#This Row],[Appointment Date]]</f>
        <v>1.0416666666642413</v>
      </c>
    </row>
    <row r="145" spans="1:23" x14ac:dyDescent="0.3">
      <c r="A145" t="s">
        <v>202</v>
      </c>
      <c r="B145">
        <v>63</v>
      </c>
      <c r="C145" t="s">
        <v>22</v>
      </c>
      <c r="D145" s="2">
        <v>45096</v>
      </c>
      <c r="E145" s="2">
        <v>45097</v>
      </c>
      <c r="F145">
        <v>1</v>
      </c>
      <c r="G145" t="s">
        <v>23</v>
      </c>
      <c r="H145">
        <v>2</v>
      </c>
      <c r="I145" t="s">
        <v>71</v>
      </c>
      <c r="J145">
        <v>18358</v>
      </c>
      <c r="K145" t="s">
        <v>60</v>
      </c>
      <c r="L145" t="s">
        <v>54</v>
      </c>
      <c r="M145" t="s">
        <v>41</v>
      </c>
      <c r="N145" s="2">
        <v>45091</v>
      </c>
      <c r="O145" s="2">
        <v>45091.916666666664</v>
      </c>
      <c r="P145" t="s">
        <v>55</v>
      </c>
      <c r="Q145" t="s">
        <v>29</v>
      </c>
      <c r="R145" t="s">
        <v>47</v>
      </c>
      <c r="S145">
        <v>7</v>
      </c>
      <c r="T145">
        <v>8</v>
      </c>
      <c r="U145" t="s">
        <v>31</v>
      </c>
      <c r="V145" t="str">
        <f t="shared" si="2"/>
        <v>Jun-2023</v>
      </c>
      <c r="W145" s="16">
        <f>Table1[[#This Row],[Consultation Date]] - Table1[[#This Row],[Appointment Date]]</f>
        <v>0.91666666666424135</v>
      </c>
    </row>
    <row r="146" spans="1:23" x14ac:dyDescent="0.3">
      <c r="A146" t="s">
        <v>203</v>
      </c>
      <c r="B146">
        <v>52</v>
      </c>
      <c r="C146" t="s">
        <v>33</v>
      </c>
      <c r="D146" s="2">
        <v>45198</v>
      </c>
      <c r="E146" s="2">
        <v>45199</v>
      </c>
      <c r="F146">
        <v>1</v>
      </c>
      <c r="G146" t="s">
        <v>63</v>
      </c>
      <c r="H146">
        <v>4</v>
      </c>
      <c r="I146" t="s">
        <v>66</v>
      </c>
      <c r="J146">
        <v>11668</v>
      </c>
      <c r="K146" t="s">
        <v>36</v>
      </c>
      <c r="L146" t="s">
        <v>54</v>
      </c>
      <c r="M146" t="s">
        <v>27</v>
      </c>
      <c r="N146" s="2">
        <v>45194</v>
      </c>
      <c r="O146" s="2">
        <v>45195.208333333336</v>
      </c>
      <c r="P146" t="s">
        <v>64</v>
      </c>
      <c r="Q146" t="s">
        <v>29</v>
      </c>
      <c r="R146" t="s">
        <v>43</v>
      </c>
      <c r="S146">
        <v>6</v>
      </c>
      <c r="T146">
        <v>10</v>
      </c>
      <c r="U146" t="s">
        <v>31</v>
      </c>
      <c r="V146" t="str">
        <f t="shared" si="2"/>
        <v>Sep-2023</v>
      </c>
      <c r="W146" s="16">
        <f>Table1[[#This Row],[Consultation Date]] - Table1[[#This Row],[Appointment Date]]</f>
        <v>1.2083333333357587</v>
      </c>
    </row>
    <row r="147" spans="1:23" x14ac:dyDescent="0.3">
      <c r="A147" t="s">
        <v>204</v>
      </c>
      <c r="B147">
        <v>4</v>
      </c>
      <c r="C147" t="s">
        <v>62</v>
      </c>
      <c r="D147" s="2">
        <v>45467</v>
      </c>
      <c r="E147" s="2">
        <v>45329</v>
      </c>
      <c r="F147">
        <v>8</v>
      </c>
      <c r="G147" t="s">
        <v>23</v>
      </c>
      <c r="H147">
        <v>2</v>
      </c>
      <c r="I147" t="s">
        <v>66</v>
      </c>
      <c r="J147">
        <v>45769</v>
      </c>
      <c r="K147" t="s">
        <v>53</v>
      </c>
      <c r="L147" t="s">
        <v>26</v>
      </c>
      <c r="M147" t="s">
        <v>27</v>
      </c>
      <c r="N147" s="2">
        <v>45465</v>
      </c>
      <c r="O147" s="2">
        <v>45465.916666666664</v>
      </c>
      <c r="P147" t="s">
        <v>64</v>
      </c>
      <c r="Q147" t="s">
        <v>29</v>
      </c>
      <c r="R147" t="s">
        <v>43</v>
      </c>
      <c r="S147">
        <v>9</v>
      </c>
      <c r="T147">
        <v>12</v>
      </c>
      <c r="U147" t="s">
        <v>68</v>
      </c>
      <c r="V147" t="str">
        <f t="shared" si="2"/>
        <v>Jun-2024</v>
      </c>
      <c r="W147" s="16">
        <f>Table1[[#This Row],[Consultation Date]] - Table1[[#This Row],[Appointment Date]]</f>
        <v>0.91666666666424135</v>
      </c>
    </row>
    <row r="148" spans="1:23" x14ac:dyDescent="0.3">
      <c r="A148" t="s">
        <v>205</v>
      </c>
      <c r="B148">
        <v>23</v>
      </c>
      <c r="C148" t="s">
        <v>45</v>
      </c>
      <c r="D148" s="2">
        <v>45538</v>
      </c>
      <c r="E148" s="2">
        <v>45374</v>
      </c>
      <c r="F148">
        <v>14</v>
      </c>
      <c r="G148" t="s">
        <v>57</v>
      </c>
      <c r="H148">
        <v>5</v>
      </c>
      <c r="I148" t="s">
        <v>66</v>
      </c>
      <c r="J148">
        <v>14921</v>
      </c>
      <c r="K148" t="s">
        <v>60</v>
      </c>
      <c r="L148" t="s">
        <v>26</v>
      </c>
      <c r="M148" t="s">
        <v>27</v>
      </c>
      <c r="N148" s="2">
        <v>45415</v>
      </c>
      <c r="O148" s="2">
        <v>45446.166666666664</v>
      </c>
      <c r="P148" t="s">
        <v>55</v>
      </c>
      <c r="Q148" t="s">
        <v>29</v>
      </c>
      <c r="R148" t="s">
        <v>30</v>
      </c>
      <c r="S148">
        <v>6</v>
      </c>
      <c r="T148">
        <v>8</v>
      </c>
      <c r="U148" t="s">
        <v>31</v>
      </c>
      <c r="V148" t="str">
        <f t="shared" si="2"/>
        <v>Sep-2024</v>
      </c>
      <c r="W148" s="16">
        <f>Table1[[#This Row],[Consultation Date]] - Table1[[#This Row],[Appointment Date]]</f>
        <v>31.166666666664241</v>
      </c>
    </row>
    <row r="149" spans="1:23" x14ac:dyDescent="0.3">
      <c r="A149" t="s">
        <v>206</v>
      </c>
      <c r="B149">
        <v>15</v>
      </c>
      <c r="C149" t="s">
        <v>33</v>
      </c>
      <c r="D149" s="2">
        <v>45054</v>
      </c>
      <c r="E149" s="2">
        <v>45268</v>
      </c>
      <c r="F149">
        <v>7</v>
      </c>
      <c r="G149" t="s">
        <v>23</v>
      </c>
      <c r="H149">
        <v>2</v>
      </c>
      <c r="I149" t="s">
        <v>35</v>
      </c>
      <c r="J149">
        <v>39959</v>
      </c>
      <c r="K149" t="s">
        <v>53</v>
      </c>
      <c r="L149" t="s">
        <v>26</v>
      </c>
      <c r="M149" t="s">
        <v>27</v>
      </c>
      <c r="N149" s="2">
        <v>45054</v>
      </c>
      <c r="O149" s="2">
        <v>45085.75</v>
      </c>
      <c r="P149" t="s">
        <v>28</v>
      </c>
      <c r="Q149" t="s">
        <v>29</v>
      </c>
      <c r="R149" t="s">
        <v>43</v>
      </c>
      <c r="S149">
        <v>5</v>
      </c>
      <c r="T149">
        <v>12</v>
      </c>
      <c r="U149" t="s">
        <v>68</v>
      </c>
      <c r="V149" t="str">
        <f t="shared" si="2"/>
        <v>May-2023</v>
      </c>
      <c r="W149" s="16">
        <f>Table1[[#This Row],[Consultation Date]] - Table1[[#This Row],[Appointment Date]]</f>
        <v>31.75</v>
      </c>
    </row>
    <row r="150" spans="1:23" x14ac:dyDescent="0.3">
      <c r="A150" t="s">
        <v>207</v>
      </c>
      <c r="B150">
        <v>43</v>
      </c>
      <c r="C150" t="s">
        <v>52</v>
      </c>
      <c r="D150" s="2">
        <v>45132</v>
      </c>
      <c r="E150" s="2">
        <v>44934</v>
      </c>
      <c r="F150">
        <v>7</v>
      </c>
      <c r="G150" t="s">
        <v>57</v>
      </c>
      <c r="H150">
        <v>3</v>
      </c>
      <c r="I150" t="s">
        <v>71</v>
      </c>
      <c r="J150">
        <v>37328</v>
      </c>
      <c r="K150" t="s">
        <v>53</v>
      </c>
      <c r="L150" t="s">
        <v>26</v>
      </c>
      <c r="M150" t="s">
        <v>41</v>
      </c>
      <c r="N150" s="2">
        <v>45132</v>
      </c>
      <c r="O150" s="2">
        <v>45133.625</v>
      </c>
      <c r="P150" t="s">
        <v>28</v>
      </c>
      <c r="Q150" t="s">
        <v>29</v>
      </c>
      <c r="R150" t="s">
        <v>30</v>
      </c>
      <c r="S150">
        <v>7</v>
      </c>
      <c r="T150">
        <v>12</v>
      </c>
      <c r="U150" t="s">
        <v>48</v>
      </c>
      <c r="V150" t="str">
        <f t="shared" si="2"/>
        <v>Jul-2023</v>
      </c>
      <c r="W150" s="16">
        <f>Table1[[#This Row],[Consultation Date]] - Table1[[#This Row],[Appointment Date]]</f>
        <v>1.625</v>
      </c>
    </row>
    <row r="151" spans="1:23" x14ac:dyDescent="0.3">
      <c r="A151" t="s">
        <v>208</v>
      </c>
      <c r="B151">
        <v>29</v>
      </c>
      <c r="C151" t="s">
        <v>52</v>
      </c>
      <c r="D151" s="2">
        <v>45246</v>
      </c>
      <c r="E151" s="2">
        <v>45257</v>
      </c>
      <c r="F151">
        <v>11</v>
      </c>
      <c r="G151" t="s">
        <v>50</v>
      </c>
      <c r="H151">
        <v>3</v>
      </c>
      <c r="I151" t="s">
        <v>46</v>
      </c>
      <c r="J151">
        <v>13859</v>
      </c>
      <c r="K151" t="s">
        <v>36</v>
      </c>
      <c r="L151" t="s">
        <v>54</v>
      </c>
      <c r="M151" t="s">
        <v>27</v>
      </c>
      <c r="N151" s="2">
        <v>45246</v>
      </c>
      <c r="O151" s="2">
        <v>45246.375</v>
      </c>
      <c r="P151" t="s">
        <v>28</v>
      </c>
      <c r="Q151" t="s">
        <v>29</v>
      </c>
      <c r="R151" t="s">
        <v>30</v>
      </c>
      <c r="S151">
        <v>11</v>
      </c>
      <c r="T151">
        <v>12</v>
      </c>
      <c r="U151" t="s">
        <v>48</v>
      </c>
      <c r="V151" t="str">
        <f t="shared" si="2"/>
        <v>Nov-2023</v>
      </c>
      <c r="W151" s="16">
        <f>Table1[[#This Row],[Consultation Date]] - Table1[[#This Row],[Appointment Date]]</f>
        <v>0.375</v>
      </c>
    </row>
    <row r="152" spans="1:23" x14ac:dyDescent="0.3">
      <c r="A152" t="s">
        <v>209</v>
      </c>
      <c r="B152">
        <v>36</v>
      </c>
      <c r="C152" t="s">
        <v>52</v>
      </c>
      <c r="D152" s="2">
        <v>45335</v>
      </c>
      <c r="E152" s="2">
        <v>45337</v>
      </c>
      <c r="F152">
        <v>2</v>
      </c>
      <c r="G152" t="s">
        <v>34</v>
      </c>
      <c r="H152">
        <v>2</v>
      </c>
      <c r="I152" t="s">
        <v>24</v>
      </c>
      <c r="J152">
        <v>28970</v>
      </c>
      <c r="K152" t="s">
        <v>53</v>
      </c>
      <c r="L152" t="s">
        <v>54</v>
      </c>
      <c r="M152" t="s">
        <v>27</v>
      </c>
      <c r="N152" s="2">
        <v>45335</v>
      </c>
      <c r="O152" s="2">
        <v>45335.833333333336</v>
      </c>
      <c r="P152" t="s">
        <v>28</v>
      </c>
      <c r="Q152" t="s">
        <v>29</v>
      </c>
      <c r="R152" t="s">
        <v>47</v>
      </c>
      <c r="S152">
        <v>10</v>
      </c>
      <c r="T152">
        <v>8</v>
      </c>
      <c r="U152" t="s">
        <v>48</v>
      </c>
      <c r="V152" t="str">
        <f t="shared" si="2"/>
        <v>Feb-2024</v>
      </c>
      <c r="W152" s="16">
        <f>Table1[[#This Row],[Consultation Date]] - Table1[[#This Row],[Appointment Date]]</f>
        <v>0.83333333333575865</v>
      </c>
    </row>
    <row r="153" spans="1:23" x14ac:dyDescent="0.3">
      <c r="A153" t="s">
        <v>210</v>
      </c>
      <c r="B153">
        <v>13</v>
      </c>
      <c r="C153" t="s">
        <v>52</v>
      </c>
      <c r="D153" s="2">
        <v>45309</v>
      </c>
      <c r="E153" s="2">
        <v>45317</v>
      </c>
      <c r="F153">
        <v>8</v>
      </c>
      <c r="G153" t="s">
        <v>40</v>
      </c>
      <c r="H153">
        <v>3</v>
      </c>
      <c r="I153" t="s">
        <v>24</v>
      </c>
      <c r="J153">
        <v>13872</v>
      </c>
      <c r="K153" t="s">
        <v>67</v>
      </c>
      <c r="L153" t="s">
        <v>54</v>
      </c>
      <c r="M153" t="s">
        <v>27</v>
      </c>
      <c r="N153" s="2">
        <v>45304</v>
      </c>
      <c r="O153" s="2">
        <v>45304.875</v>
      </c>
      <c r="P153" t="s">
        <v>64</v>
      </c>
      <c r="Q153" t="s">
        <v>29</v>
      </c>
      <c r="R153" t="s">
        <v>43</v>
      </c>
      <c r="S153">
        <v>8</v>
      </c>
      <c r="T153">
        <v>10</v>
      </c>
      <c r="U153" t="s">
        <v>68</v>
      </c>
      <c r="V153" t="str">
        <f t="shared" si="2"/>
        <v>Jan-2024</v>
      </c>
      <c r="W153" s="16">
        <f>Table1[[#This Row],[Consultation Date]] - Table1[[#This Row],[Appointment Date]]</f>
        <v>0.875</v>
      </c>
    </row>
    <row r="154" spans="1:23" x14ac:dyDescent="0.3">
      <c r="A154" t="s">
        <v>211</v>
      </c>
      <c r="B154">
        <v>32</v>
      </c>
      <c r="C154" t="s">
        <v>62</v>
      </c>
      <c r="D154" s="2">
        <v>45375</v>
      </c>
      <c r="E154" s="2">
        <v>45416</v>
      </c>
      <c r="F154">
        <v>12</v>
      </c>
      <c r="G154" t="s">
        <v>40</v>
      </c>
      <c r="H154">
        <v>3</v>
      </c>
      <c r="I154" t="s">
        <v>66</v>
      </c>
      <c r="J154">
        <v>24230</v>
      </c>
      <c r="K154" t="s">
        <v>67</v>
      </c>
      <c r="L154" t="s">
        <v>26</v>
      </c>
      <c r="M154" t="s">
        <v>27</v>
      </c>
      <c r="N154" s="2">
        <v>45371</v>
      </c>
      <c r="O154" s="2">
        <v>45372.625</v>
      </c>
      <c r="P154" t="s">
        <v>37</v>
      </c>
      <c r="Q154" t="s">
        <v>29</v>
      </c>
      <c r="R154" t="s">
        <v>43</v>
      </c>
      <c r="S154">
        <v>11</v>
      </c>
      <c r="T154">
        <v>10</v>
      </c>
      <c r="U154" t="s">
        <v>31</v>
      </c>
      <c r="V154" t="str">
        <f t="shared" si="2"/>
        <v>Mar-2024</v>
      </c>
      <c r="W154" s="16">
        <f>Table1[[#This Row],[Consultation Date]] - Table1[[#This Row],[Appointment Date]]</f>
        <v>1.625</v>
      </c>
    </row>
    <row r="155" spans="1:23" x14ac:dyDescent="0.3">
      <c r="A155" t="s">
        <v>212</v>
      </c>
      <c r="B155">
        <v>71</v>
      </c>
      <c r="C155" t="s">
        <v>45</v>
      </c>
      <c r="D155" s="2">
        <v>45456</v>
      </c>
      <c r="E155" s="2">
        <v>45471</v>
      </c>
      <c r="F155">
        <v>15</v>
      </c>
      <c r="G155" t="s">
        <v>34</v>
      </c>
      <c r="H155">
        <v>5</v>
      </c>
      <c r="I155" t="s">
        <v>71</v>
      </c>
      <c r="J155">
        <v>31708</v>
      </c>
      <c r="K155" t="s">
        <v>25</v>
      </c>
      <c r="L155" t="s">
        <v>26</v>
      </c>
      <c r="M155" t="s">
        <v>27</v>
      </c>
      <c r="N155" s="2">
        <v>45602</v>
      </c>
      <c r="O155" s="2">
        <v>45632.875</v>
      </c>
      <c r="P155" t="s">
        <v>55</v>
      </c>
      <c r="Q155" t="s">
        <v>38</v>
      </c>
      <c r="R155" t="s">
        <v>43</v>
      </c>
      <c r="S155">
        <v>4</v>
      </c>
      <c r="T155">
        <v>12</v>
      </c>
      <c r="U155" t="s">
        <v>48</v>
      </c>
      <c r="V155" t="str">
        <f t="shared" si="2"/>
        <v>Jun-2024</v>
      </c>
      <c r="W155" s="16">
        <f>Table1[[#This Row],[Consultation Date]] - Table1[[#This Row],[Appointment Date]]</f>
        <v>30.875</v>
      </c>
    </row>
    <row r="156" spans="1:23" x14ac:dyDescent="0.3">
      <c r="A156" t="s">
        <v>213</v>
      </c>
      <c r="B156">
        <v>59</v>
      </c>
      <c r="C156" t="s">
        <v>41</v>
      </c>
      <c r="D156" s="2">
        <v>45477</v>
      </c>
      <c r="E156" s="2">
        <v>45397</v>
      </c>
      <c r="F156">
        <v>8</v>
      </c>
      <c r="G156" t="s">
        <v>40</v>
      </c>
      <c r="H156">
        <v>4</v>
      </c>
      <c r="I156" t="s">
        <v>35</v>
      </c>
      <c r="J156">
        <v>23847</v>
      </c>
      <c r="K156" t="s">
        <v>36</v>
      </c>
      <c r="L156" t="s">
        <v>54</v>
      </c>
      <c r="M156" t="s">
        <v>27</v>
      </c>
      <c r="N156" s="2">
        <v>45326</v>
      </c>
      <c r="O156" s="2">
        <v>45326.541666666664</v>
      </c>
      <c r="P156" t="s">
        <v>37</v>
      </c>
      <c r="Q156" t="s">
        <v>29</v>
      </c>
      <c r="R156" t="s">
        <v>30</v>
      </c>
      <c r="S156">
        <v>5</v>
      </c>
      <c r="T156">
        <v>12</v>
      </c>
      <c r="U156" t="s">
        <v>31</v>
      </c>
      <c r="V156" t="str">
        <f t="shared" si="2"/>
        <v>Jul-2024</v>
      </c>
      <c r="W156" s="16">
        <f>Table1[[#This Row],[Consultation Date]] - Table1[[#This Row],[Appointment Date]]</f>
        <v>0.54166666666424135</v>
      </c>
    </row>
    <row r="157" spans="1:23" x14ac:dyDescent="0.3">
      <c r="A157" t="s">
        <v>214</v>
      </c>
      <c r="B157">
        <v>86</v>
      </c>
      <c r="C157" t="s">
        <v>22</v>
      </c>
      <c r="D157" s="2">
        <v>45021</v>
      </c>
      <c r="E157" s="2">
        <v>45082</v>
      </c>
      <c r="F157">
        <v>2</v>
      </c>
      <c r="G157" t="s">
        <v>23</v>
      </c>
      <c r="H157">
        <v>5</v>
      </c>
      <c r="I157" t="s">
        <v>71</v>
      </c>
      <c r="J157">
        <v>32105</v>
      </c>
      <c r="K157" t="s">
        <v>25</v>
      </c>
      <c r="L157" t="s">
        <v>54</v>
      </c>
      <c r="M157" t="s">
        <v>27</v>
      </c>
      <c r="N157" s="2">
        <v>44990</v>
      </c>
      <c r="O157" s="2">
        <v>45021.291666666664</v>
      </c>
      <c r="P157" t="s">
        <v>37</v>
      </c>
      <c r="Q157" t="s">
        <v>29</v>
      </c>
      <c r="R157" t="s">
        <v>43</v>
      </c>
      <c r="S157">
        <v>10</v>
      </c>
      <c r="T157">
        <v>8</v>
      </c>
      <c r="U157" t="s">
        <v>31</v>
      </c>
      <c r="V157" t="str">
        <f t="shared" si="2"/>
        <v>Apr-2023</v>
      </c>
      <c r="W157" s="16">
        <f>Table1[[#This Row],[Consultation Date]] - Table1[[#This Row],[Appointment Date]]</f>
        <v>31.291666666664241</v>
      </c>
    </row>
    <row r="158" spans="1:23" x14ac:dyDescent="0.3">
      <c r="A158" t="s">
        <v>215</v>
      </c>
      <c r="B158">
        <v>28</v>
      </c>
      <c r="C158" t="s">
        <v>62</v>
      </c>
      <c r="D158" s="2">
        <v>45239</v>
      </c>
      <c r="E158" s="2">
        <v>45195</v>
      </c>
      <c r="F158">
        <v>15</v>
      </c>
      <c r="G158" t="s">
        <v>50</v>
      </c>
      <c r="H158">
        <v>1</v>
      </c>
      <c r="I158" t="s">
        <v>71</v>
      </c>
      <c r="J158">
        <v>9922</v>
      </c>
      <c r="K158" t="s">
        <v>67</v>
      </c>
      <c r="L158" t="s">
        <v>54</v>
      </c>
      <c r="M158" t="s">
        <v>41</v>
      </c>
      <c r="N158" s="2">
        <v>45116</v>
      </c>
      <c r="O158" s="2">
        <v>45116.875</v>
      </c>
      <c r="P158" t="s">
        <v>42</v>
      </c>
      <c r="Q158" t="s">
        <v>29</v>
      </c>
      <c r="R158" t="s">
        <v>47</v>
      </c>
      <c r="S158">
        <v>4</v>
      </c>
      <c r="T158">
        <v>12</v>
      </c>
      <c r="U158" t="s">
        <v>48</v>
      </c>
      <c r="V158" t="str">
        <f t="shared" si="2"/>
        <v>Nov-2023</v>
      </c>
      <c r="W158" s="16">
        <f>Table1[[#This Row],[Consultation Date]] - Table1[[#This Row],[Appointment Date]]</f>
        <v>0.875</v>
      </c>
    </row>
    <row r="159" spans="1:23" x14ac:dyDescent="0.3">
      <c r="A159" t="s">
        <v>216</v>
      </c>
      <c r="B159">
        <v>66</v>
      </c>
      <c r="C159" t="s">
        <v>62</v>
      </c>
      <c r="D159" s="2">
        <v>45157</v>
      </c>
      <c r="E159" s="2">
        <v>45159</v>
      </c>
      <c r="F159">
        <v>2</v>
      </c>
      <c r="G159" t="s">
        <v>50</v>
      </c>
      <c r="H159">
        <v>5</v>
      </c>
      <c r="I159" t="s">
        <v>35</v>
      </c>
      <c r="J159">
        <v>9392</v>
      </c>
      <c r="K159" t="s">
        <v>25</v>
      </c>
      <c r="L159" t="s">
        <v>26</v>
      </c>
      <c r="M159" t="s">
        <v>27</v>
      </c>
      <c r="N159" s="2">
        <v>45154</v>
      </c>
      <c r="O159" s="2">
        <v>45154.5</v>
      </c>
      <c r="P159" t="s">
        <v>28</v>
      </c>
      <c r="Q159" t="s">
        <v>29</v>
      </c>
      <c r="R159" t="s">
        <v>47</v>
      </c>
      <c r="S159">
        <v>4</v>
      </c>
      <c r="T159">
        <v>12</v>
      </c>
      <c r="U159" t="s">
        <v>68</v>
      </c>
      <c r="V159" t="str">
        <f t="shared" si="2"/>
        <v>Aug-2023</v>
      </c>
      <c r="W159" s="16">
        <f>Table1[[#This Row],[Consultation Date]] - Table1[[#This Row],[Appointment Date]]</f>
        <v>0.5</v>
      </c>
    </row>
    <row r="160" spans="1:23" x14ac:dyDescent="0.3">
      <c r="A160" t="s">
        <v>217</v>
      </c>
      <c r="B160">
        <v>42</v>
      </c>
      <c r="C160" t="s">
        <v>41</v>
      </c>
      <c r="D160" s="2">
        <v>45110</v>
      </c>
      <c r="E160" s="2">
        <v>44998</v>
      </c>
      <c r="F160">
        <v>6</v>
      </c>
      <c r="G160" t="s">
        <v>34</v>
      </c>
      <c r="H160">
        <v>2</v>
      </c>
      <c r="I160" t="s">
        <v>66</v>
      </c>
      <c r="J160">
        <v>18541</v>
      </c>
      <c r="K160" t="s">
        <v>36</v>
      </c>
      <c r="L160" t="s">
        <v>54</v>
      </c>
      <c r="M160" t="s">
        <v>27</v>
      </c>
      <c r="N160" s="2">
        <v>44988</v>
      </c>
      <c r="O160" s="2">
        <v>45019.083333333336</v>
      </c>
      <c r="P160" t="s">
        <v>64</v>
      </c>
      <c r="Q160" t="s">
        <v>29</v>
      </c>
      <c r="R160" t="s">
        <v>43</v>
      </c>
      <c r="S160">
        <v>7</v>
      </c>
      <c r="T160">
        <v>12</v>
      </c>
      <c r="U160" t="s">
        <v>31</v>
      </c>
      <c r="V160" t="str">
        <f t="shared" si="2"/>
        <v>Jul-2023</v>
      </c>
      <c r="W160" s="16">
        <f>Table1[[#This Row],[Consultation Date]] - Table1[[#This Row],[Appointment Date]]</f>
        <v>31.083333333335759</v>
      </c>
    </row>
    <row r="161" spans="1:23" x14ac:dyDescent="0.3">
      <c r="A161" t="s">
        <v>218</v>
      </c>
      <c r="B161">
        <v>45</v>
      </c>
      <c r="C161" t="s">
        <v>41</v>
      </c>
      <c r="D161" s="2">
        <v>45273</v>
      </c>
      <c r="E161" s="2">
        <v>45283</v>
      </c>
      <c r="F161">
        <v>10</v>
      </c>
      <c r="G161" t="s">
        <v>40</v>
      </c>
      <c r="H161">
        <v>4</v>
      </c>
      <c r="I161" t="s">
        <v>71</v>
      </c>
      <c r="J161">
        <v>24551</v>
      </c>
      <c r="K161" t="s">
        <v>36</v>
      </c>
      <c r="L161" t="s">
        <v>54</v>
      </c>
      <c r="M161" t="s">
        <v>27</v>
      </c>
      <c r="N161" s="2">
        <v>45150</v>
      </c>
      <c r="O161" s="2">
        <v>45150.875</v>
      </c>
      <c r="P161" t="s">
        <v>28</v>
      </c>
      <c r="Q161" t="s">
        <v>29</v>
      </c>
      <c r="R161" t="s">
        <v>30</v>
      </c>
      <c r="S161">
        <v>8</v>
      </c>
      <c r="T161">
        <v>10</v>
      </c>
      <c r="U161" t="s">
        <v>48</v>
      </c>
      <c r="V161" t="str">
        <f t="shared" si="2"/>
        <v>Dec-2023</v>
      </c>
      <c r="W161" s="16">
        <f>Table1[[#This Row],[Consultation Date]] - Table1[[#This Row],[Appointment Date]]</f>
        <v>0.875</v>
      </c>
    </row>
    <row r="162" spans="1:23" x14ac:dyDescent="0.3">
      <c r="A162" t="s">
        <v>219</v>
      </c>
      <c r="B162">
        <v>62</v>
      </c>
      <c r="C162" t="s">
        <v>22</v>
      </c>
      <c r="D162" s="2">
        <v>44948</v>
      </c>
      <c r="E162" s="2">
        <v>44951</v>
      </c>
      <c r="F162">
        <v>3</v>
      </c>
      <c r="G162" t="s">
        <v>23</v>
      </c>
      <c r="H162">
        <v>2</v>
      </c>
      <c r="I162" t="s">
        <v>24</v>
      </c>
      <c r="J162">
        <v>24381</v>
      </c>
      <c r="K162" t="s">
        <v>53</v>
      </c>
      <c r="L162" t="s">
        <v>54</v>
      </c>
      <c r="M162" t="s">
        <v>41</v>
      </c>
      <c r="N162" s="2">
        <v>44948</v>
      </c>
      <c r="O162" s="2">
        <v>44948.791666666664</v>
      </c>
      <c r="P162" t="s">
        <v>28</v>
      </c>
      <c r="Q162" t="s">
        <v>29</v>
      </c>
      <c r="R162" t="s">
        <v>47</v>
      </c>
      <c r="S162">
        <v>4</v>
      </c>
      <c r="T162">
        <v>12</v>
      </c>
      <c r="U162" t="s">
        <v>31</v>
      </c>
      <c r="V162" t="str">
        <f t="shared" si="2"/>
        <v>Jan-2023</v>
      </c>
      <c r="W162" s="16">
        <f>Table1[[#This Row],[Consultation Date]] - Table1[[#This Row],[Appointment Date]]</f>
        <v>0.79166666666424135</v>
      </c>
    </row>
    <row r="163" spans="1:23" x14ac:dyDescent="0.3">
      <c r="A163" t="s">
        <v>220</v>
      </c>
      <c r="B163">
        <v>57</v>
      </c>
      <c r="C163" t="s">
        <v>22</v>
      </c>
      <c r="D163" s="2">
        <v>45162</v>
      </c>
      <c r="E163" s="2">
        <v>45164</v>
      </c>
      <c r="F163">
        <v>2</v>
      </c>
      <c r="G163" t="s">
        <v>50</v>
      </c>
      <c r="H163">
        <v>1</v>
      </c>
      <c r="I163" t="s">
        <v>35</v>
      </c>
      <c r="J163">
        <v>40995</v>
      </c>
      <c r="K163" t="s">
        <v>60</v>
      </c>
      <c r="L163" t="s">
        <v>26</v>
      </c>
      <c r="M163" t="s">
        <v>27</v>
      </c>
      <c r="N163" s="2">
        <v>45159</v>
      </c>
      <c r="O163" s="2">
        <v>45161</v>
      </c>
      <c r="P163" t="s">
        <v>37</v>
      </c>
      <c r="Q163" t="s">
        <v>29</v>
      </c>
      <c r="R163" t="s">
        <v>47</v>
      </c>
      <c r="S163">
        <v>9</v>
      </c>
      <c r="T163">
        <v>10</v>
      </c>
      <c r="U163" t="s">
        <v>31</v>
      </c>
      <c r="V163" t="str">
        <f t="shared" si="2"/>
        <v>Aug-2023</v>
      </c>
      <c r="W163" s="16">
        <f>Table1[[#This Row],[Consultation Date]] - Table1[[#This Row],[Appointment Date]]</f>
        <v>2</v>
      </c>
    </row>
    <row r="164" spans="1:23" x14ac:dyDescent="0.3">
      <c r="A164" t="s">
        <v>221</v>
      </c>
      <c r="B164">
        <v>6</v>
      </c>
      <c r="C164" t="s">
        <v>41</v>
      </c>
      <c r="D164" s="2">
        <v>45152</v>
      </c>
      <c r="E164" s="2">
        <v>45155</v>
      </c>
      <c r="F164">
        <v>3</v>
      </c>
      <c r="G164" t="s">
        <v>50</v>
      </c>
      <c r="H164">
        <v>4</v>
      </c>
      <c r="I164" t="s">
        <v>46</v>
      </c>
      <c r="J164">
        <v>27948</v>
      </c>
      <c r="K164" t="s">
        <v>53</v>
      </c>
      <c r="L164" t="s">
        <v>26</v>
      </c>
      <c r="M164" t="s">
        <v>41</v>
      </c>
      <c r="N164" s="2">
        <v>45177</v>
      </c>
      <c r="O164" s="2">
        <v>45207.875</v>
      </c>
      <c r="P164" t="s">
        <v>42</v>
      </c>
      <c r="Q164" t="s">
        <v>29</v>
      </c>
      <c r="R164" t="s">
        <v>30</v>
      </c>
      <c r="S164">
        <v>10</v>
      </c>
      <c r="T164">
        <v>8</v>
      </c>
      <c r="U164" t="s">
        <v>31</v>
      </c>
      <c r="V164" t="str">
        <f t="shared" si="2"/>
        <v>Aug-2023</v>
      </c>
      <c r="W164" s="16">
        <f>Table1[[#This Row],[Consultation Date]] - Table1[[#This Row],[Appointment Date]]</f>
        <v>30.875</v>
      </c>
    </row>
    <row r="165" spans="1:23" x14ac:dyDescent="0.3">
      <c r="A165" t="s">
        <v>222</v>
      </c>
      <c r="B165">
        <v>28</v>
      </c>
      <c r="C165" t="s">
        <v>52</v>
      </c>
      <c r="D165" s="2">
        <v>45139</v>
      </c>
      <c r="E165" s="2">
        <v>44939</v>
      </c>
      <c r="F165">
        <v>5</v>
      </c>
      <c r="G165" t="s">
        <v>63</v>
      </c>
      <c r="H165">
        <v>3</v>
      </c>
      <c r="I165" t="s">
        <v>66</v>
      </c>
      <c r="J165">
        <v>31728</v>
      </c>
      <c r="K165" t="s">
        <v>36</v>
      </c>
      <c r="L165" t="s">
        <v>54</v>
      </c>
      <c r="M165" t="s">
        <v>27</v>
      </c>
      <c r="N165" s="2">
        <v>45017</v>
      </c>
      <c r="O165" s="2">
        <v>45047.708333333336</v>
      </c>
      <c r="P165" t="s">
        <v>28</v>
      </c>
      <c r="Q165" t="s">
        <v>29</v>
      </c>
      <c r="R165" t="s">
        <v>47</v>
      </c>
      <c r="S165">
        <v>11</v>
      </c>
      <c r="T165">
        <v>8</v>
      </c>
      <c r="U165" t="s">
        <v>31</v>
      </c>
      <c r="V165" t="str">
        <f t="shared" si="2"/>
        <v>Aug-2023</v>
      </c>
      <c r="W165" s="16">
        <f>Table1[[#This Row],[Consultation Date]] - Table1[[#This Row],[Appointment Date]]</f>
        <v>30.708333333335759</v>
      </c>
    </row>
    <row r="166" spans="1:23" x14ac:dyDescent="0.3">
      <c r="A166" t="s">
        <v>223</v>
      </c>
      <c r="B166">
        <v>28</v>
      </c>
      <c r="C166" t="s">
        <v>62</v>
      </c>
      <c r="D166" s="2">
        <v>44999</v>
      </c>
      <c r="E166" s="2">
        <v>45009</v>
      </c>
      <c r="F166">
        <v>10</v>
      </c>
      <c r="G166" t="s">
        <v>63</v>
      </c>
      <c r="H166">
        <v>5</v>
      </c>
      <c r="I166" t="s">
        <v>35</v>
      </c>
      <c r="J166">
        <v>7024</v>
      </c>
      <c r="K166" t="s">
        <v>67</v>
      </c>
      <c r="L166" t="s">
        <v>26</v>
      </c>
      <c r="M166" t="s">
        <v>27</v>
      </c>
      <c r="N166" s="2">
        <v>45263</v>
      </c>
      <c r="O166" s="2">
        <v>44998.333333333336</v>
      </c>
      <c r="P166" t="s">
        <v>55</v>
      </c>
      <c r="Q166" t="s">
        <v>29</v>
      </c>
      <c r="R166" t="s">
        <v>30</v>
      </c>
      <c r="S166">
        <v>11</v>
      </c>
      <c r="T166">
        <v>10</v>
      </c>
      <c r="U166" t="s">
        <v>31</v>
      </c>
      <c r="V166" t="str">
        <f t="shared" si="2"/>
        <v>Mar-2023</v>
      </c>
      <c r="W166" s="16">
        <f>Table1[[#This Row],[Consultation Date]] - Table1[[#This Row],[Appointment Date]]</f>
        <v>-264.66666666666424</v>
      </c>
    </row>
    <row r="167" spans="1:23" x14ac:dyDescent="0.3">
      <c r="A167" t="s">
        <v>224</v>
      </c>
      <c r="B167">
        <v>44</v>
      </c>
      <c r="C167" t="s">
        <v>33</v>
      </c>
      <c r="D167" s="2">
        <v>44960</v>
      </c>
      <c r="E167" s="2">
        <v>44998</v>
      </c>
      <c r="F167">
        <v>11</v>
      </c>
      <c r="G167" t="s">
        <v>50</v>
      </c>
      <c r="H167">
        <v>2</v>
      </c>
      <c r="I167" t="s">
        <v>46</v>
      </c>
      <c r="J167">
        <v>21713</v>
      </c>
      <c r="K167" t="s">
        <v>67</v>
      </c>
      <c r="L167" t="s">
        <v>54</v>
      </c>
      <c r="M167" t="s">
        <v>27</v>
      </c>
      <c r="N167" s="2">
        <v>44982</v>
      </c>
      <c r="O167" s="2">
        <v>44983.541666666664</v>
      </c>
      <c r="P167" t="s">
        <v>55</v>
      </c>
      <c r="Q167" t="s">
        <v>29</v>
      </c>
      <c r="R167" t="s">
        <v>47</v>
      </c>
      <c r="S167">
        <v>4</v>
      </c>
      <c r="T167">
        <v>10</v>
      </c>
      <c r="U167" t="s">
        <v>68</v>
      </c>
      <c r="V167" t="str">
        <f t="shared" si="2"/>
        <v>Feb-2023</v>
      </c>
      <c r="W167" s="16">
        <f>Table1[[#This Row],[Consultation Date]] - Table1[[#This Row],[Appointment Date]]</f>
        <v>1.5416666666642413</v>
      </c>
    </row>
    <row r="168" spans="1:23" x14ac:dyDescent="0.3">
      <c r="A168" t="s">
        <v>225</v>
      </c>
      <c r="B168">
        <v>84</v>
      </c>
      <c r="C168" t="s">
        <v>22</v>
      </c>
      <c r="D168" s="2">
        <v>45161</v>
      </c>
      <c r="E168" s="2">
        <v>44966</v>
      </c>
      <c r="F168">
        <v>10</v>
      </c>
      <c r="G168" t="s">
        <v>34</v>
      </c>
      <c r="H168">
        <v>1</v>
      </c>
      <c r="I168" t="s">
        <v>46</v>
      </c>
      <c r="J168">
        <v>7486</v>
      </c>
      <c r="K168" t="s">
        <v>53</v>
      </c>
      <c r="L168" t="s">
        <v>26</v>
      </c>
      <c r="M168" t="s">
        <v>41</v>
      </c>
      <c r="N168" s="2">
        <v>45159</v>
      </c>
      <c r="O168" s="2">
        <v>45159.666666666664</v>
      </c>
      <c r="P168" t="s">
        <v>28</v>
      </c>
      <c r="Q168" t="s">
        <v>29</v>
      </c>
      <c r="R168" t="s">
        <v>30</v>
      </c>
      <c r="S168">
        <v>5</v>
      </c>
      <c r="T168">
        <v>10</v>
      </c>
      <c r="U168" t="s">
        <v>68</v>
      </c>
      <c r="V168" t="str">
        <f t="shared" si="2"/>
        <v>Aug-2023</v>
      </c>
      <c r="W168" s="16">
        <f>Table1[[#This Row],[Consultation Date]] - Table1[[#This Row],[Appointment Date]]</f>
        <v>0.66666666666424135</v>
      </c>
    </row>
    <row r="169" spans="1:23" x14ac:dyDescent="0.3">
      <c r="A169" t="s">
        <v>226</v>
      </c>
      <c r="B169">
        <v>30</v>
      </c>
      <c r="C169" t="s">
        <v>22</v>
      </c>
      <c r="D169" s="2">
        <v>45233</v>
      </c>
      <c r="E169" s="2">
        <v>45005</v>
      </c>
      <c r="F169">
        <v>9</v>
      </c>
      <c r="G169" t="s">
        <v>57</v>
      </c>
      <c r="H169">
        <v>3</v>
      </c>
      <c r="I169" t="s">
        <v>71</v>
      </c>
      <c r="J169">
        <v>6155</v>
      </c>
      <c r="K169" t="s">
        <v>36</v>
      </c>
      <c r="L169" t="s">
        <v>26</v>
      </c>
      <c r="M169" t="s">
        <v>27</v>
      </c>
      <c r="N169" s="2">
        <v>45141</v>
      </c>
      <c r="O169" s="2">
        <v>45141.875</v>
      </c>
      <c r="P169" t="s">
        <v>37</v>
      </c>
      <c r="Q169" t="s">
        <v>29</v>
      </c>
      <c r="R169" t="s">
        <v>47</v>
      </c>
      <c r="S169">
        <v>8</v>
      </c>
      <c r="T169">
        <v>10</v>
      </c>
      <c r="U169" t="s">
        <v>48</v>
      </c>
      <c r="V169" t="str">
        <f t="shared" si="2"/>
        <v>Nov-2023</v>
      </c>
      <c r="W169" s="16">
        <f>Table1[[#This Row],[Consultation Date]] - Table1[[#This Row],[Appointment Date]]</f>
        <v>0.875</v>
      </c>
    </row>
    <row r="170" spans="1:23" x14ac:dyDescent="0.3">
      <c r="A170" t="s">
        <v>227</v>
      </c>
      <c r="B170">
        <v>62</v>
      </c>
      <c r="C170" t="s">
        <v>41</v>
      </c>
      <c r="D170" s="2">
        <v>44959</v>
      </c>
      <c r="E170" s="2">
        <v>44971</v>
      </c>
      <c r="F170">
        <v>12</v>
      </c>
      <c r="G170" t="s">
        <v>57</v>
      </c>
      <c r="H170">
        <v>5</v>
      </c>
      <c r="I170" t="s">
        <v>71</v>
      </c>
      <c r="J170">
        <v>15082</v>
      </c>
      <c r="K170" t="s">
        <v>67</v>
      </c>
      <c r="L170" t="s">
        <v>54</v>
      </c>
      <c r="M170" t="s">
        <v>27</v>
      </c>
      <c r="N170" s="2">
        <v>44928</v>
      </c>
      <c r="O170" s="2">
        <v>44959.041666666664</v>
      </c>
      <c r="P170" t="s">
        <v>37</v>
      </c>
      <c r="Q170" t="s">
        <v>29</v>
      </c>
      <c r="R170" t="s">
        <v>43</v>
      </c>
      <c r="S170">
        <v>8</v>
      </c>
      <c r="T170">
        <v>12</v>
      </c>
      <c r="U170" t="s">
        <v>68</v>
      </c>
      <c r="V170" t="str">
        <f t="shared" si="2"/>
        <v>Feb-2023</v>
      </c>
      <c r="W170" s="16">
        <f>Table1[[#This Row],[Consultation Date]] - Table1[[#This Row],[Appointment Date]]</f>
        <v>31.041666666664241</v>
      </c>
    </row>
    <row r="171" spans="1:23" x14ac:dyDescent="0.3">
      <c r="A171" t="s">
        <v>228</v>
      </c>
      <c r="B171">
        <v>75</v>
      </c>
      <c r="C171" t="s">
        <v>45</v>
      </c>
      <c r="D171" s="2">
        <v>45058</v>
      </c>
      <c r="E171" s="2">
        <v>45242</v>
      </c>
      <c r="F171">
        <v>6</v>
      </c>
      <c r="G171" t="s">
        <v>23</v>
      </c>
      <c r="H171">
        <v>3</v>
      </c>
      <c r="I171" t="s">
        <v>71</v>
      </c>
      <c r="J171">
        <v>42245</v>
      </c>
      <c r="K171" t="s">
        <v>36</v>
      </c>
      <c r="L171" t="s">
        <v>54</v>
      </c>
      <c r="M171" t="s">
        <v>27</v>
      </c>
      <c r="N171" s="2">
        <v>45260</v>
      </c>
      <c r="O171" s="2">
        <v>45260.75</v>
      </c>
      <c r="P171" t="s">
        <v>64</v>
      </c>
      <c r="Q171" t="s">
        <v>29</v>
      </c>
      <c r="R171" t="s">
        <v>47</v>
      </c>
      <c r="S171">
        <v>11</v>
      </c>
      <c r="T171">
        <v>10</v>
      </c>
      <c r="U171" t="s">
        <v>68</v>
      </c>
      <c r="V171" t="str">
        <f t="shared" si="2"/>
        <v>May-2023</v>
      </c>
      <c r="W171" s="16">
        <f>Table1[[#This Row],[Consultation Date]] - Table1[[#This Row],[Appointment Date]]</f>
        <v>0.75</v>
      </c>
    </row>
    <row r="172" spans="1:23" x14ac:dyDescent="0.3">
      <c r="A172" t="s">
        <v>229</v>
      </c>
      <c r="B172">
        <v>89</v>
      </c>
      <c r="C172" t="s">
        <v>33</v>
      </c>
      <c r="D172" s="2">
        <v>44999</v>
      </c>
      <c r="E172" s="2">
        <v>45006</v>
      </c>
      <c r="F172">
        <v>7</v>
      </c>
      <c r="G172" t="s">
        <v>50</v>
      </c>
      <c r="H172">
        <v>5</v>
      </c>
      <c r="I172" t="s">
        <v>35</v>
      </c>
      <c r="J172">
        <v>23569</v>
      </c>
      <c r="K172" t="s">
        <v>67</v>
      </c>
      <c r="L172" t="s">
        <v>26</v>
      </c>
      <c r="M172" t="s">
        <v>27</v>
      </c>
      <c r="N172" s="2">
        <v>45233</v>
      </c>
      <c r="O172" s="2">
        <v>45263.083333333336</v>
      </c>
      <c r="P172" t="s">
        <v>42</v>
      </c>
      <c r="Q172" t="s">
        <v>29</v>
      </c>
      <c r="R172" t="s">
        <v>47</v>
      </c>
      <c r="S172">
        <v>4</v>
      </c>
      <c r="T172">
        <v>10</v>
      </c>
      <c r="U172" t="s">
        <v>68</v>
      </c>
      <c r="V172" t="str">
        <f t="shared" si="2"/>
        <v>Mar-2023</v>
      </c>
      <c r="W172" s="16">
        <f>Table1[[#This Row],[Consultation Date]] - Table1[[#This Row],[Appointment Date]]</f>
        <v>30.083333333335759</v>
      </c>
    </row>
    <row r="173" spans="1:23" x14ac:dyDescent="0.3">
      <c r="A173" t="s">
        <v>230</v>
      </c>
      <c r="B173">
        <v>62</v>
      </c>
      <c r="C173" t="s">
        <v>33</v>
      </c>
      <c r="D173" s="2">
        <v>45571</v>
      </c>
      <c r="E173" s="2">
        <v>45463</v>
      </c>
      <c r="F173">
        <v>10</v>
      </c>
      <c r="G173" t="s">
        <v>50</v>
      </c>
      <c r="H173">
        <v>4</v>
      </c>
      <c r="I173" t="s">
        <v>35</v>
      </c>
      <c r="J173">
        <v>12086</v>
      </c>
      <c r="K173" t="s">
        <v>36</v>
      </c>
      <c r="L173" t="s">
        <v>54</v>
      </c>
      <c r="M173" t="s">
        <v>27</v>
      </c>
      <c r="N173" s="2">
        <v>45510</v>
      </c>
      <c r="O173" s="2">
        <v>45541</v>
      </c>
      <c r="P173" t="s">
        <v>37</v>
      </c>
      <c r="Q173" t="s">
        <v>29</v>
      </c>
      <c r="R173" t="s">
        <v>43</v>
      </c>
      <c r="S173">
        <v>8</v>
      </c>
      <c r="T173">
        <v>10</v>
      </c>
      <c r="U173" t="s">
        <v>31</v>
      </c>
      <c r="V173" t="str">
        <f t="shared" si="2"/>
        <v>Oct-2024</v>
      </c>
      <c r="W173" s="16">
        <f>Table1[[#This Row],[Consultation Date]] - Table1[[#This Row],[Appointment Date]]</f>
        <v>31</v>
      </c>
    </row>
    <row r="174" spans="1:23" x14ac:dyDescent="0.3">
      <c r="A174" t="s">
        <v>231</v>
      </c>
      <c r="B174">
        <v>1</v>
      </c>
      <c r="C174" t="s">
        <v>22</v>
      </c>
      <c r="D174" s="2">
        <v>44935</v>
      </c>
      <c r="E174" s="2">
        <v>45208</v>
      </c>
      <c r="F174">
        <v>9</v>
      </c>
      <c r="G174" t="s">
        <v>50</v>
      </c>
      <c r="H174">
        <v>3</v>
      </c>
      <c r="I174" t="s">
        <v>66</v>
      </c>
      <c r="J174">
        <v>7317</v>
      </c>
      <c r="K174" t="s">
        <v>25</v>
      </c>
      <c r="L174" t="s">
        <v>26</v>
      </c>
      <c r="M174" t="s">
        <v>27</v>
      </c>
      <c r="N174" s="2">
        <v>45167</v>
      </c>
      <c r="O174" s="2">
        <v>45167.333333333336</v>
      </c>
      <c r="P174" t="s">
        <v>64</v>
      </c>
      <c r="Q174" t="s">
        <v>38</v>
      </c>
      <c r="R174" t="s">
        <v>43</v>
      </c>
      <c r="S174">
        <v>5</v>
      </c>
      <c r="T174">
        <v>12</v>
      </c>
      <c r="U174" t="s">
        <v>31</v>
      </c>
      <c r="V174" t="str">
        <f t="shared" si="2"/>
        <v>Jan-2023</v>
      </c>
      <c r="W174" s="16">
        <f>Table1[[#This Row],[Consultation Date]] - Table1[[#This Row],[Appointment Date]]</f>
        <v>0.33333333333575865</v>
      </c>
    </row>
    <row r="175" spans="1:23" x14ac:dyDescent="0.3">
      <c r="A175" t="s">
        <v>232</v>
      </c>
      <c r="B175">
        <v>27</v>
      </c>
      <c r="C175" t="s">
        <v>52</v>
      </c>
      <c r="D175" s="2">
        <v>45212</v>
      </c>
      <c r="E175" s="2">
        <v>45217</v>
      </c>
      <c r="F175">
        <v>5</v>
      </c>
      <c r="G175" t="s">
        <v>34</v>
      </c>
      <c r="H175">
        <v>3</v>
      </c>
      <c r="I175" t="s">
        <v>71</v>
      </c>
      <c r="J175">
        <v>41389</v>
      </c>
      <c r="K175" t="s">
        <v>36</v>
      </c>
      <c r="L175" t="s">
        <v>26</v>
      </c>
      <c r="M175" t="s">
        <v>41</v>
      </c>
      <c r="N175" s="2">
        <v>45212</v>
      </c>
      <c r="O175" s="2">
        <v>45213.541666666664</v>
      </c>
      <c r="P175" t="s">
        <v>55</v>
      </c>
      <c r="Q175" t="s">
        <v>38</v>
      </c>
      <c r="R175" t="s">
        <v>43</v>
      </c>
      <c r="S175">
        <v>11</v>
      </c>
      <c r="T175">
        <v>12</v>
      </c>
      <c r="U175" t="s">
        <v>48</v>
      </c>
      <c r="V175" t="str">
        <f t="shared" si="2"/>
        <v>Oct-2023</v>
      </c>
      <c r="W175" s="16">
        <f>Table1[[#This Row],[Consultation Date]] - Table1[[#This Row],[Appointment Date]]</f>
        <v>1.5416666666642413</v>
      </c>
    </row>
    <row r="176" spans="1:23" x14ac:dyDescent="0.3">
      <c r="A176" t="s">
        <v>233</v>
      </c>
      <c r="B176">
        <v>62</v>
      </c>
      <c r="C176" t="s">
        <v>45</v>
      </c>
      <c r="D176" s="2">
        <v>45631</v>
      </c>
      <c r="E176" s="2">
        <v>45432</v>
      </c>
      <c r="F176">
        <v>8</v>
      </c>
      <c r="G176" t="s">
        <v>63</v>
      </c>
      <c r="H176">
        <v>3</v>
      </c>
      <c r="I176" t="s">
        <v>46</v>
      </c>
      <c r="J176">
        <v>9491</v>
      </c>
      <c r="K176" t="s">
        <v>36</v>
      </c>
      <c r="L176" t="s">
        <v>26</v>
      </c>
      <c r="M176" t="s">
        <v>41</v>
      </c>
      <c r="N176" s="2">
        <v>45478</v>
      </c>
      <c r="O176" s="2">
        <v>45478.541666666664</v>
      </c>
      <c r="P176" t="s">
        <v>55</v>
      </c>
      <c r="Q176" t="s">
        <v>38</v>
      </c>
      <c r="R176" t="s">
        <v>43</v>
      </c>
      <c r="S176">
        <v>10</v>
      </c>
      <c r="T176">
        <v>12</v>
      </c>
      <c r="U176" t="s">
        <v>48</v>
      </c>
      <c r="V176" t="str">
        <f t="shared" si="2"/>
        <v>Dec-2024</v>
      </c>
      <c r="W176" s="16">
        <f>Table1[[#This Row],[Consultation Date]] - Table1[[#This Row],[Appointment Date]]</f>
        <v>0.54166666666424135</v>
      </c>
    </row>
    <row r="177" spans="1:23" x14ac:dyDescent="0.3">
      <c r="A177" t="s">
        <v>234</v>
      </c>
      <c r="B177">
        <v>77</v>
      </c>
      <c r="C177" t="s">
        <v>33</v>
      </c>
      <c r="D177" s="2">
        <v>45146</v>
      </c>
      <c r="E177" s="2">
        <v>45155</v>
      </c>
      <c r="F177">
        <v>9</v>
      </c>
      <c r="G177" t="s">
        <v>50</v>
      </c>
      <c r="H177">
        <v>4</v>
      </c>
      <c r="I177" t="s">
        <v>24</v>
      </c>
      <c r="J177">
        <v>20916</v>
      </c>
      <c r="K177" t="s">
        <v>53</v>
      </c>
      <c r="L177" t="s">
        <v>54</v>
      </c>
      <c r="M177" t="s">
        <v>27</v>
      </c>
      <c r="N177" s="2">
        <v>45146</v>
      </c>
      <c r="O177" s="2">
        <v>45177.583333333336</v>
      </c>
      <c r="P177" t="s">
        <v>55</v>
      </c>
      <c r="Q177" t="s">
        <v>29</v>
      </c>
      <c r="R177" t="s">
        <v>30</v>
      </c>
      <c r="S177">
        <v>5</v>
      </c>
      <c r="T177">
        <v>8</v>
      </c>
      <c r="U177" t="s">
        <v>48</v>
      </c>
      <c r="V177" t="str">
        <f t="shared" si="2"/>
        <v>Aug-2023</v>
      </c>
      <c r="W177" s="16">
        <f>Table1[[#This Row],[Consultation Date]] - Table1[[#This Row],[Appointment Date]]</f>
        <v>31.583333333335759</v>
      </c>
    </row>
    <row r="178" spans="1:23" x14ac:dyDescent="0.3">
      <c r="A178" t="s">
        <v>235</v>
      </c>
      <c r="B178">
        <v>3</v>
      </c>
      <c r="C178" t="s">
        <v>22</v>
      </c>
      <c r="D178" s="2">
        <v>45062</v>
      </c>
      <c r="E178" s="2">
        <v>45072</v>
      </c>
      <c r="F178">
        <v>10</v>
      </c>
      <c r="G178" t="s">
        <v>50</v>
      </c>
      <c r="H178">
        <v>1</v>
      </c>
      <c r="I178" t="s">
        <v>66</v>
      </c>
      <c r="J178">
        <v>20248</v>
      </c>
      <c r="K178" t="s">
        <v>25</v>
      </c>
      <c r="L178" t="s">
        <v>54</v>
      </c>
      <c r="M178" t="s">
        <v>27</v>
      </c>
      <c r="N178" s="2">
        <v>45061</v>
      </c>
      <c r="O178" s="2">
        <v>45062.458333333336</v>
      </c>
      <c r="P178" t="s">
        <v>28</v>
      </c>
      <c r="Q178" t="s">
        <v>29</v>
      </c>
      <c r="R178" t="s">
        <v>30</v>
      </c>
      <c r="S178">
        <v>5</v>
      </c>
      <c r="T178">
        <v>12</v>
      </c>
      <c r="U178" t="s">
        <v>31</v>
      </c>
      <c r="V178" t="str">
        <f t="shared" si="2"/>
        <v>May-2023</v>
      </c>
      <c r="W178" s="16">
        <f>Table1[[#This Row],[Consultation Date]] - Table1[[#This Row],[Appointment Date]]</f>
        <v>1.4583333333357587</v>
      </c>
    </row>
    <row r="179" spans="1:23" x14ac:dyDescent="0.3">
      <c r="A179" t="s">
        <v>236</v>
      </c>
      <c r="B179">
        <v>70</v>
      </c>
      <c r="C179" t="s">
        <v>33</v>
      </c>
      <c r="D179" s="2">
        <v>45411</v>
      </c>
      <c r="E179" s="2">
        <v>45448</v>
      </c>
      <c r="F179">
        <v>7</v>
      </c>
      <c r="G179" t="s">
        <v>40</v>
      </c>
      <c r="H179">
        <v>5</v>
      </c>
      <c r="I179" t="s">
        <v>35</v>
      </c>
      <c r="J179">
        <v>7511</v>
      </c>
      <c r="K179" t="s">
        <v>60</v>
      </c>
      <c r="L179" t="s">
        <v>26</v>
      </c>
      <c r="M179" t="s">
        <v>27</v>
      </c>
      <c r="N179" s="2">
        <v>45408</v>
      </c>
      <c r="O179" s="2">
        <v>45408.5</v>
      </c>
      <c r="P179" t="s">
        <v>42</v>
      </c>
      <c r="Q179" t="s">
        <v>29</v>
      </c>
      <c r="R179" t="s">
        <v>47</v>
      </c>
      <c r="S179">
        <v>9</v>
      </c>
      <c r="T179">
        <v>10</v>
      </c>
      <c r="U179" t="s">
        <v>68</v>
      </c>
      <c r="V179" t="str">
        <f t="shared" si="2"/>
        <v>Apr-2024</v>
      </c>
      <c r="W179" s="16">
        <f>Table1[[#This Row],[Consultation Date]] - Table1[[#This Row],[Appointment Date]]</f>
        <v>0.5</v>
      </c>
    </row>
    <row r="180" spans="1:23" x14ac:dyDescent="0.3">
      <c r="A180" t="s">
        <v>237</v>
      </c>
      <c r="B180">
        <v>72</v>
      </c>
      <c r="C180" t="s">
        <v>45</v>
      </c>
      <c r="D180" s="2">
        <v>45086</v>
      </c>
      <c r="E180" s="2">
        <v>45147</v>
      </c>
      <c r="F180">
        <v>2</v>
      </c>
      <c r="G180" t="s">
        <v>34</v>
      </c>
      <c r="H180">
        <v>3</v>
      </c>
      <c r="I180" t="s">
        <v>66</v>
      </c>
      <c r="J180">
        <v>29226</v>
      </c>
      <c r="K180" t="s">
        <v>53</v>
      </c>
      <c r="L180" t="s">
        <v>54</v>
      </c>
      <c r="M180" t="s">
        <v>41</v>
      </c>
      <c r="N180" s="2">
        <v>44994</v>
      </c>
      <c r="O180" s="2">
        <v>45025.833333333336</v>
      </c>
      <c r="P180" t="s">
        <v>64</v>
      </c>
      <c r="Q180" t="s">
        <v>29</v>
      </c>
      <c r="R180" t="s">
        <v>47</v>
      </c>
      <c r="S180">
        <v>7</v>
      </c>
      <c r="T180">
        <v>12</v>
      </c>
      <c r="U180" t="s">
        <v>68</v>
      </c>
      <c r="V180" t="str">
        <f t="shared" si="2"/>
        <v>Jun-2023</v>
      </c>
      <c r="W180" s="16">
        <f>Table1[[#This Row],[Consultation Date]] - Table1[[#This Row],[Appointment Date]]</f>
        <v>31.833333333335759</v>
      </c>
    </row>
    <row r="181" spans="1:23" x14ac:dyDescent="0.3">
      <c r="A181" t="s">
        <v>238</v>
      </c>
      <c r="B181">
        <v>27</v>
      </c>
      <c r="C181" t="s">
        <v>45</v>
      </c>
      <c r="D181" s="2">
        <v>45411</v>
      </c>
      <c r="E181" s="2">
        <v>45631</v>
      </c>
      <c r="F181">
        <v>13</v>
      </c>
      <c r="G181" t="s">
        <v>23</v>
      </c>
      <c r="H181">
        <v>4</v>
      </c>
      <c r="I181" t="s">
        <v>66</v>
      </c>
      <c r="J181">
        <v>30025</v>
      </c>
      <c r="K181" t="s">
        <v>60</v>
      </c>
      <c r="L181" t="s">
        <v>26</v>
      </c>
      <c r="M181" t="s">
        <v>41</v>
      </c>
      <c r="N181" s="2">
        <v>45408</v>
      </c>
      <c r="O181" s="2">
        <v>45409.5</v>
      </c>
      <c r="P181" t="s">
        <v>42</v>
      </c>
      <c r="Q181" t="s">
        <v>29</v>
      </c>
      <c r="R181" t="s">
        <v>47</v>
      </c>
      <c r="S181">
        <v>4</v>
      </c>
      <c r="T181">
        <v>12</v>
      </c>
      <c r="U181" t="s">
        <v>31</v>
      </c>
      <c r="V181" t="str">
        <f t="shared" si="2"/>
        <v>Apr-2024</v>
      </c>
      <c r="W181" s="16">
        <f>Table1[[#This Row],[Consultation Date]] - Table1[[#This Row],[Appointment Date]]</f>
        <v>1.5</v>
      </c>
    </row>
    <row r="182" spans="1:23" x14ac:dyDescent="0.3">
      <c r="A182" t="s">
        <v>239</v>
      </c>
      <c r="B182">
        <v>9</v>
      </c>
      <c r="C182" t="s">
        <v>62</v>
      </c>
      <c r="D182" s="2">
        <v>45343</v>
      </c>
      <c r="E182" s="2">
        <v>45385</v>
      </c>
      <c r="F182">
        <v>12</v>
      </c>
      <c r="G182" t="s">
        <v>50</v>
      </c>
      <c r="H182">
        <v>1</v>
      </c>
      <c r="I182" t="s">
        <v>66</v>
      </c>
      <c r="J182">
        <v>47314</v>
      </c>
      <c r="K182" t="s">
        <v>67</v>
      </c>
      <c r="L182" t="s">
        <v>26</v>
      </c>
      <c r="M182" t="s">
        <v>27</v>
      </c>
      <c r="N182" s="2">
        <v>45340</v>
      </c>
      <c r="O182" s="2">
        <v>45340.083333333336</v>
      </c>
      <c r="P182" t="s">
        <v>28</v>
      </c>
      <c r="Q182" t="s">
        <v>29</v>
      </c>
      <c r="R182" t="s">
        <v>30</v>
      </c>
      <c r="S182">
        <v>10</v>
      </c>
      <c r="T182">
        <v>10</v>
      </c>
      <c r="U182" t="s">
        <v>48</v>
      </c>
      <c r="V182" t="str">
        <f t="shared" si="2"/>
        <v>Feb-2024</v>
      </c>
      <c r="W182" s="16">
        <f>Table1[[#This Row],[Consultation Date]] - Table1[[#This Row],[Appointment Date]]</f>
        <v>8.3333333335758653E-2</v>
      </c>
    </row>
    <row r="183" spans="1:23" x14ac:dyDescent="0.3">
      <c r="A183" t="s">
        <v>240</v>
      </c>
      <c r="B183">
        <v>62</v>
      </c>
      <c r="C183" t="s">
        <v>41</v>
      </c>
      <c r="D183" s="2">
        <v>45121</v>
      </c>
      <c r="E183" s="2">
        <v>45123</v>
      </c>
      <c r="F183">
        <v>2</v>
      </c>
      <c r="G183" t="s">
        <v>40</v>
      </c>
      <c r="H183">
        <v>5</v>
      </c>
      <c r="I183" t="s">
        <v>66</v>
      </c>
      <c r="J183">
        <v>12848</v>
      </c>
      <c r="K183" t="s">
        <v>60</v>
      </c>
      <c r="L183" t="s">
        <v>54</v>
      </c>
      <c r="M183" t="s">
        <v>41</v>
      </c>
      <c r="N183" s="2">
        <v>45120</v>
      </c>
      <c r="O183" s="2">
        <v>45121.958333333336</v>
      </c>
      <c r="P183" t="s">
        <v>64</v>
      </c>
      <c r="Q183" t="s">
        <v>38</v>
      </c>
      <c r="R183" t="s">
        <v>47</v>
      </c>
      <c r="S183">
        <v>11</v>
      </c>
      <c r="T183">
        <v>12</v>
      </c>
      <c r="U183" t="s">
        <v>48</v>
      </c>
      <c r="V183" t="str">
        <f t="shared" si="2"/>
        <v>Jul-2023</v>
      </c>
      <c r="W183" s="16">
        <f>Table1[[#This Row],[Consultation Date]] - Table1[[#This Row],[Appointment Date]]</f>
        <v>1.9583333333357587</v>
      </c>
    </row>
    <row r="184" spans="1:23" x14ac:dyDescent="0.3">
      <c r="A184" t="s">
        <v>241</v>
      </c>
      <c r="B184">
        <v>37</v>
      </c>
      <c r="C184" t="s">
        <v>41</v>
      </c>
      <c r="D184" s="2">
        <v>45111</v>
      </c>
      <c r="E184" s="2">
        <v>45037</v>
      </c>
      <c r="F184">
        <v>14</v>
      </c>
      <c r="G184" t="s">
        <v>57</v>
      </c>
      <c r="H184">
        <v>4</v>
      </c>
      <c r="I184" t="s">
        <v>24</v>
      </c>
      <c r="J184">
        <v>19274</v>
      </c>
      <c r="K184" t="s">
        <v>36</v>
      </c>
      <c r="L184" t="s">
        <v>26</v>
      </c>
      <c r="M184" t="s">
        <v>27</v>
      </c>
      <c r="N184" s="2">
        <v>45050</v>
      </c>
      <c r="O184" s="2">
        <v>45081.25</v>
      </c>
      <c r="P184" t="s">
        <v>64</v>
      </c>
      <c r="Q184" t="s">
        <v>29</v>
      </c>
      <c r="R184" t="s">
        <v>47</v>
      </c>
      <c r="S184">
        <v>8</v>
      </c>
      <c r="T184">
        <v>8</v>
      </c>
      <c r="U184" t="s">
        <v>48</v>
      </c>
      <c r="V184" t="str">
        <f t="shared" si="2"/>
        <v>Jul-2023</v>
      </c>
      <c r="W184" s="16">
        <f>Table1[[#This Row],[Consultation Date]] - Table1[[#This Row],[Appointment Date]]</f>
        <v>31.25</v>
      </c>
    </row>
    <row r="185" spans="1:23" x14ac:dyDescent="0.3">
      <c r="A185" t="s">
        <v>242</v>
      </c>
      <c r="B185">
        <v>51</v>
      </c>
      <c r="C185" t="s">
        <v>22</v>
      </c>
      <c r="D185" s="2">
        <v>45203</v>
      </c>
      <c r="E185" s="2">
        <v>45037</v>
      </c>
      <c r="F185">
        <v>11</v>
      </c>
      <c r="G185" t="s">
        <v>23</v>
      </c>
      <c r="H185">
        <v>5</v>
      </c>
      <c r="I185" t="s">
        <v>71</v>
      </c>
      <c r="J185">
        <v>35958</v>
      </c>
      <c r="K185" t="s">
        <v>60</v>
      </c>
      <c r="L185" t="s">
        <v>54</v>
      </c>
      <c r="M185" t="s">
        <v>41</v>
      </c>
      <c r="N185" s="2">
        <v>45081</v>
      </c>
      <c r="O185" s="2">
        <v>45111.916666666664</v>
      </c>
      <c r="P185" t="s">
        <v>37</v>
      </c>
      <c r="Q185" t="s">
        <v>38</v>
      </c>
      <c r="R185" t="s">
        <v>30</v>
      </c>
      <c r="S185">
        <v>5</v>
      </c>
      <c r="T185">
        <v>12</v>
      </c>
      <c r="U185" t="s">
        <v>31</v>
      </c>
      <c r="V185" t="str">
        <f t="shared" si="2"/>
        <v>Oct-2023</v>
      </c>
      <c r="W185" s="16">
        <f>Table1[[#This Row],[Consultation Date]] - Table1[[#This Row],[Appointment Date]]</f>
        <v>30.916666666664241</v>
      </c>
    </row>
    <row r="186" spans="1:23" x14ac:dyDescent="0.3">
      <c r="A186" t="s">
        <v>243</v>
      </c>
      <c r="B186">
        <v>44</v>
      </c>
      <c r="C186" t="s">
        <v>45</v>
      </c>
      <c r="D186" s="2">
        <v>45368</v>
      </c>
      <c r="E186" s="2">
        <v>45379</v>
      </c>
      <c r="F186">
        <v>11</v>
      </c>
      <c r="G186" t="s">
        <v>50</v>
      </c>
      <c r="H186">
        <v>3</v>
      </c>
      <c r="I186" t="s">
        <v>46</v>
      </c>
      <c r="J186">
        <v>40233</v>
      </c>
      <c r="K186" t="s">
        <v>53</v>
      </c>
      <c r="L186" t="s">
        <v>54</v>
      </c>
      <c r="M186" t="s">
        <v>27</v>
      </c>
      <c r="N186" s="2">
        <v>45367</v>
      </c>
      <c r="O186" s="2">
        <v>45367.583333333336</v>
      </c>
      <c r="P186" t="s">
        <v>42</v>
      </c>
      <c r="Q186" t="s">
        <v>29</v>
      </c>
      <c r="R186" t="s">
        <v>47</v>
      </c>
      <c r="S186">
        <v>11</v>
      </c>
      <c r="T186">
        <v>8</v>
      </c>
      <c r="U186" t="s">
        <v>48</v>
      </c>
      <c r="V186" t="str">
        <f t="shared" si="2"/>
        <v>Mar-2024</v>
      </c>
      <c r="W186" s="16">
        <f>Table1[[#This Row],[Consultation Date]] - Table1[[#This Row],[Appointment Date]]</f>
        <v>0.58333333333575865</v>
      </c>
    </row>
    <row r="187" spans="1:23" x14ac:dyDescent="0.3">
      <c r="A187" t="s">
        <v>244</v>
      </c>
      <c r="B187">
        <v>24</v>
      </c>
      <c r="C187" t="s">
        <v>62</v>
      </c>
      <c r="D187" s="2">
        <v>45289</v>
      </c>
      <c r="E187" s="2">
        <v>45304</v>
      </c>
      <c r="F187">
        <v>15</v>
      </c>
      <c r="G187" t="s">
        <v>50</v>
      </c>
      <c r="H187">
        <v>1</v>
      </c>
      <c r="I187" t="s">
        <v>66</v>
      </c>
      <c r="J187">
        <v>21304</v>
      </c>
      <c r="K187" t="s">
        <v>53</v>
      </c>
      <c r="L187" t="s">
        <v>26</v>
      </c>
      <c r="M187" t="s">
        <v>27</v>
      </c>
      <c r="N187" s="2">
        <v>45287</v>
      </c>
      <c r="O187" s="2">
        <v>45288.208333333336</v>
      </c>
      <c r="P187" t="s">
        <v>42</v>
      </c>
      <c r="Q187" t="s">
        <v>29</v>
      </c>
      <c r="R187" t="s">
        <v>30</v>
      </c>
      <c r="S187">
        <v>4</v>
      </c>
      <c r="T187">
        <v>8</v>
      </c>
      <c r="U187" t="s">
        <v>48</v>
      </c>
      <c r="V187" t="str">
        <f t="shared" si="2"/>
        <v>Dec-2023</v>
      </c>
      <c r="W187" s="16">
        <f>Table1[[#This Row],[Consultation Date]] - Table1[[#This Row],[Appointment Date]]</f>
        <v>1.2083333333357587</v>
      </c>
    </row>
    <row r="188" spans="1:23" x14ac:dyDescent="0.3">
      <c r="A188" t="s">
        <v>245</v>
      </c>
      <c r="B188">
        <v>79</v>
      </c>
      <c r="C188" t="s">
        <v>62</v>
      </c>
      <c r="D188" s="2">
        <v>45538</v>
      </c>
      <c r="E188" s="2">
        <v>45373</v>
      </c>
      <c r="F188">
        <v>13</v>
      </c>
      <c r="G188" t="s">
        <v>40</v>
      </c>
      <c r="H188">
        <v>4</v>
      </c>
      <c r="I188" t="s">
        <v>66</v>
      </c>
      <c r="J188">
        <v>16294</v>
      </c>
      <c r="K188" t="s">
        <v>60</v>
      </c>
      <c r="L188" t="s">
        <v>26</v>
      </c>
      <c r="M188" t="s">
        <v>41</v>
      </c>
      <c r="N188" s="2">
        <v>45385</v>
      </c>
      <c r="O188" s="2">
        <v>45385.791666666664</v>
      </c>
      <c r="P188" t="s">
        <v>37</v>
      </c>
      <c r="Q188" t="s">
        <v>29</v>
      </c>
      <c r="R188" t="s">
        <v>30</v>
      </c>
      <c r="S188">
        <v>10</v>
      </c>
      <c r="T188">
        <v>8</v>
      </c>
      <c r="U188" t="s">
        <v>31</v>
      </c>
      <c r="V188" t="str">
        <f t="shared" si="2"/>
        <v>Sep-2024</v>
      </c>
      <c r="W188" s="16">
        <f>Table1[[#This Row],[Consultation Date]] - Table1[[#This Row],[Appointment Date]]</f>
        <v>0.79166666666424135</v>
      </c>
    </row>
    <row r="189" spans="1:23" x14ac:dyDescent="0.3">
      <c r="A189" t="s">
        <v>246</v>
      </c>
      <c r="B189">
        <v>59</v>
      </c>
      <c r="C189" t="s">
        <v>33</v>
      </c>
      <c r="D189" s="2">
        <v>45347</v>
      </c>
      <c r="E189" s="2">
        <v>45415</v>
      </c>
      <c r="F189">
        <v>9</v>
      </c>
      <c r="G189" t="s">
        <v>34</v>
      </c>
      <c r="H189">
        <v>1</v>
      </c>
      <c r="I189" t="s">
        <v>66</v>
      </c>
      <c r="J189">
        <v>31425</v>
      </c>
      <c r="K189" t="s">
        <v>53</v>
      </c>
      <c r="L189" t="s">
        <v>54</v>
      </c>
      <c r="M189" t="s">
        <v>27</v>
      </c>
      <c r="N189" s="2">
        <v>45345</v>
      </c>
      <c r="O189" s="2">
        <v>45346.875</v>
      </c>
      <c r="P189" t="s">
        <v>55</v>
      </c>
      <c r="Q189" t="s">
        <v>29</v>
      </c>
      <c r="R189" t="s">
        <v>43</v>
      </c>
      <c r="S189">
        <v>10</v>
      </c>
      <c r="T189">
        <v>10</v>
      </c>
      <c r="U189" t="s">
        <v>68</v>
      </c>
      <c r="V189" t="str">
        <f t="shared" si="2"/>
        <v>Feb-2024</v>
      </c>
      <c r="W189" s="16">
        <f>Table1[[#This Row],[Consultation Date]] - Table1[[#This Row],[Appointment Date]]</f>
        <v>1.875</v>
      </c>
    </row>
    <row r="190" spans="1:23" x14ac:dyDescent="0.3">
      <c r="A190" t="s">
        <v>247</v>
      </c>
      <c r="B190">
        <v>32</v>
      </c>
      <c r="C190" t="s">
        <v>33</v>
      </c>
      <c r="D190" s="2">
        <v>45405</v>
      </c>
      <c r="E190" s="2">
        <v>45417</v>
      </c>
      <c r="F190">
        <v>12</v>
      </c>
      <c r="G190" t="s">
        <v>50</v>
      </c>
      <c r="H190">
        <v>3</v>
      </c>
      <c r="I190" t="s">
        <v>71</v>
      </c>
      <c r="J190">
        <v>8175</v>
      </c>
      <c r="K190" t="s">
        <v>53</v>
      </c>
      <c r="L190" t="s">
        <v>26</v>
      </c>
      <c r="M190" t="s">
        <v>41</v>
      </c>
      <c r="N190" s="2">
        <v>45400</v>
      </c>
      <c r="O190" s="2">
        <v>45400.208333333336</v>
      </c>
      <c r="P190" t="s">
        <v>28</v>
      </c>
      <c r="Q190" t="s">
        <v>29</v>
      </c>
      <c r="R190" t="s">
        <v>43</v>
      </c>
      <c r="S190">
        <v>4</v>
      </c>
      <c r="T190">
        <v>12</v>
      </c>
      <c r="U190" t="s">
        <v>31</v>
      </c>
      <c r="V190" t="str">
        <f t="shared" si="2"/>
        <v>Apr-2024</v>
      </c>
      <c r="W190" s="16">
        <f>Table1[[#This Row],[Consultation Date]] - Table1[[#This Row],[Appointment Date]]</f>
        <v>0.20833333333575865</v>
      </c>
    </row>
    <row r="191" spans="1:23" x14ac:dyDescent="0.3">
      <c r="A191" t="s">
        <v>248</v>
      </c>
      <c r="B191">
        <v>88</v>
      </c>
      <c r="C191" t="s">
        <v>62</v>
      </c>
      <c r="D191" s="2">
        <v>44982</v>
      </c>
      <c r="E191" s="2">
        <v>45233</v>
      </c>
      <c r="F191">
        <v>14</v>
      </c>
      <c r="G191" t="s">
        <v>57</v>
      </c>
      <c r="H191">
        <v>1</v>
      </c>
      <c r="I191" t="s">
        <v>35</v>
      </c>
      <c r="J191">
        <v>45617</v>
      </c>
      <c r="K191" t="s">
        <v>60</v>
      </c>
      <c r="L191" t="s">
        <v>54</v>
      </c>
      <c r="M191" t="s">
        <v>27</v>
      </c>
      <c r="N191" s="2">
        <v>44980</v>
      </c>
      <c r="O191" s="2">
        <v>44981.125</v>
      </c>
      <c r="P191" t="s">
        <v>42</v>
      </c>
      <c r="Q191" t="s">
        <v>29</v>
      </c>
      <c r="R191" t="s">
        <v>30</v>
      </c>
      <c r="S191">
        <v>7</v>
      </c>
      <c r="T191">
        <v>8</v>
      </c>
      <c r="U191" t="s">
        <v>31</v>
      </c>
      <c r="V191" t="str">
        <f t="shared" si="2"/>
        <v>Feb-2023</v>
      </c>
      <c r="W191" s="16">
        <f>Table1[[#This Row],[Consultation Date]] - Table1[[#This Row],[Appointment Date]]</f>
        <v>1.125</v>
      </c>
    </row>
    <row r="192" spans="1:23" x14ac:dyDescent="0.3">
      <c r="A192" t="s">
        <v>249</v>
      </c>
      <c r="B192">
        <v>52</v>
      </c>
      <c r="C192" t="s">
        <v>33</v>
      </c>
      <c r="D192" s="2">
        <v>45234</v>
      </c>
      <c r="E192" s="2">
        <v>45031</v>
      </c>
      <c r="F192">
        <v>4</v>
      </c>
      <c r="G192" t="s">
        <v>50</v>
      </c>
      <c r="H192">
        <v>1</v>
      </c>
      <c r="I192" t="s">
        <v>35</v>
      </c>
      <c r="J192">
        <v>32775</v>
      </c>
      <c r="K192" t="s">
        <v>25</v>
      </c>
      <c r="L192" t="s">
        <v>54</v>
      </c>
      <c r="M192" t="s">
        <v>27</v>
      </c>
      <c r="N192" s="2">
        <v>45142</v>
      </c>
      <c r="O192" s="2">
        <v>45173.833333333336</v>
      </c>
      <c r="P192" t="s">
        <v>37</v>
      </c>
      <c r="Q192" t="s">
        <v>29</v>
      </c>
      <c r="R192" t="s">
        <v>30</v>
      </c>
      <c r="S192">
        <v>9</v>
      </c>
      <c r="T192">
        <v>8</v>
      </c>
      <c r="U192" t="s">
        <v>31</v>
      </c>
      <c r="V192" t="str">
        <f t="shared" si="2"/>
        <v>Nov-2023</v>
      </c>
      <c r="W192" s="16">
        <f>Table1[[#This Row],[Consultation Date]] - Table1[[#This Row],[Appointment Date]]</f>
        <v>31.833333333335759</v>
      </c>
    </row>
    <row r="193" spans="1:23" x14ac:dyDescent="0.3">
      <c r="A193" t="s">
        <v>250</v>
      </c>
      <c r="B193">
        <v>62</v>
      </c>
      <c r="C193" t="s">
        <v>45</v>
      </c>
      <c r="D193" s="2">
        <v>45019</v>
      </c>
      <c r="E193" s="2">
        <v>45233</v>
      </c>
      <c r="F193">
        <v>7</v>
      </c>
      <c r="G193" t="s">
        <v>57</v>
      </c>
      <c r="H193">
        <v>2</v>
      </c>
      <c r="I193" t="s">
        <v>24</v>
      </c>
      <c r="J193">
        <v>14425</v>
      </c>
      <c r="K193" t="s">
        <v>25</v>
      </c>
      <c r="L193" t="s">
        <v>54</v>
      </c>
      <c r="M193" t="s">
        <v>27</v>
      </c>
      <c r="N193" s="2">
        <v>44988</v>
      </c>
      <c r="O193" s="2">
        <v>45019.333333333336</v>
      </c>
      <c r="P193" t="s">
        <v>64</v>
      </c>
      <c r="Q193" t="s">
        <v>29</v>
      </c>
      <c r="R193" t="s">
        <v>43</v>
      </c>
      <c r="S193">
        <v>8</v>
      </c>
      <c r="T193">
        <v>12</v>
      </c>
      <c r="U193" t="s">
        <v>31</v>
      </c>
      <c r="V193" t="str">
        <f t="shared" si="2"/>
        <v>Apr-2023</v>
      </c>
      <c r="W193" s="16">
        <f>Table1[[#This Row],[Consultation Date]] - Table1[[#This Row],[Appointment Date]]</f>
        <v>31.333333333335759</v>
      </c>
    </row>
    <row r="194" spans="1:23" x14ac:dyDescent="0.3">
      <c r="A194" t="s">
        <v>251</v>
      </c>
      <c r="B194">
        <v>58</v>
      </c>
      <c r="C194" t="s">
        <v>52</v>
      </c>
      <c r="D194" s="2">
        <v>45339</v>
      </c>
      <c r="E194" s="2">
        <v>45347</v>
      </c>
      <c r="F194">
        <v>8</v>
      </c>
      <c r="G194" t="s">
        <v>23</v>
      </c>
      <c r="H194">
        <v>1</v>
      </c>
      <c r="I194" t="s">
        <v>35</v>
      </c>
      <c r="J194">
        <v>31013</v>
      </c>
      <c r="K194" t="s">
        <v>67</v>
      </c>
      <c r="L194" t="s">
        <v>26</v>
      </c>
      <c r="M194" t="s">
        <v>27</v>
      </c>
      <c r="N194" s="2">
        <v>45337</v>
      </c>
      <c r="O194" s="2">
        <v>45337.375</v>
      </c>
      <c r="P194" t="s">
        <v>37</v>
      </c>
      <c r="Q194" t="s">
        <v>29</v>
      </c>
      <c r="R194" t="s">
        <v>47</v>
      </c>
      <c r="S194">
        <v>9</v>
      </c>
      <c r="T194">
        <v>10</v>
      </c>
      <c r="U194" t="s">
        <v>68</v>
      </c>
      <c r="V194" t="str">
        <f t="shared" ref="V194:V257" si="3">TEXT(D194,"mmm-yyyy")</f>
        <v>Feb-2024</v>
      </c>
      <c r="W194" s="16">
        <f>Table1[[#This Row],[Consultation Date]] - Table1[[#This Row],[Appointment Date]]</f>
        <v>0.375</v>
      </c>
    </row>
    <row r="195" spans="1:23" x14ac:dyDescent="0.3">
      <c r="A195" t="s">
        <v>252</v>
      </c>
      <c r="B195">
        <v>52</v>
      </c>
      <c r="C195" t="s">
        <v>45</v>
      </c>
      <c r="D195" s="2">
        <v>45274</v>
      </c>
      <c r="E195" s="2">
        <v>45289</v>
      </c>
      <c r="F195">
        <v>15</v>
      </c>
      <c r="G195" t="s">
        <v>23</v>
      </c>
      <c r="H195">
        <v>5</v>
      </c>
      <c r="I195" t="s">
        <v>66</v>
      </c>
      <c r="J195">
        <v>32928</v>
      </c>
      <c r="K195" t="s">
        <v>53</v>
      </c>
      <c r="L195" t="s">
        <v>54</v>
      </c>
      <c r="M195" t="s">
        <v>27</v>
      </c>
      <c r="N195" s="2">
        <v>45211</v>
      </c>
      <c r="O195" s="2">
        <v>45242.708333333336</v>
      </c>
      <c r="P195" t="s">
        <v>55</v>
      </c>
      <c r="Q195" t="s">
        <v>29</v>
      </c>
      <c r="R195" t="s">
        <v>47</v>
      </c>
      <c r="S195">
        <v>10</v>
      </c>
      <c r="T195">
        <v>10</v>
      </c>
      <c r="U195" t="s">
        <v>48</v>
      </c>
      <c r="V195" t="str">
        <f t="shared" si="3"/>
        <v>Dec-2023</v>
      </c>
      <c r="W195" s="16">
        <f>Table1[[#This Row],[Consultation Date]] - Table1[[#This Row],[Appointment Date]]</f>
        <v>31.708333333335759</v>
      </c>
    </row>
    <row r="196" spans="1:23" x14ac:dyDescent="0.3">
      <c r="A196" t="s">
        <v>253</v>
      </c>
      <c r="B196">
        <v>12</v>
      </c>
      <c r="C196" t="s">
        <v>62</v>
      </c>
      <c r="D196" s="2">
        <v>45038</v>
      </c>
      <c r="E196" s="2">
        <v>45042</v>
      </c>
      <c r="F196">
        <v>4</v>
      </c>
      <c r="G196" t="s">
        <v>63</v>
      </c>
      <c r="H196">
        <v>4</v>
      </c>
      <c r="I196" t="s">
        <v>66</v>
      </c>
      <c r="J196">
        <v>49990</v>
      </c>
      <c r="K196" t="s">
        <v>60</v>
      </c>
      <c r="L196" t="s">
        <v>54</v>
      </c>
      <c r="M196" t="s">
        <v>41</v>
      </c>
      <c r="N196" s="2">
        <v>45034</v>
      </c>
      <c r="O196" s="2">
        <v>45034.833333333336</v>
      </c>
      <c r="P196" t="s">
        <v>28</v>
      </c>
      <c r="Q196" t="s">
        <v>29</v>
      </c>
      <c r="R196" t="s">
        <v>47</v>
      </c>
      <c r="S196">
        <v>8</v>
      </c>
      <c r="T196">
        <v>8</v>
      </c>
      <c r="U196" t="s">
        <v>31</v>
      </c>
      <c r="V196" t="str">
        <f t="shared" si="3"/>
        <v>Apr-2023</v>
      </c>
      <c r="W196" s="16">
        <f>Table1[[#This Row],[Consultation Date]] - Table1[[#This Row],[Appointment Date]]</f>
        <v>0.83333333333575865</v>
      </c>
    </row>
    <row r="197" spans="1:23" x14ac:dyDescent="0.3">
      <c r="A197" t="s">
        <v>254</v>
      </c>
      <c r="B197">
        <v>39</v>
      </c>
      <c r="C197" t="s">
        <v>62</v>
      </c>
      <c r="D197" s="2">
        <v>45269</v>
      </c>
      <c r="E197" s="2">
        <v>45188</v>
      </c>
      <c r="F197">
        <v>7</v>
      </c>
      <c r="G197" t="s">
        <v>63</v>
      </c>
      <c r="H197">
        <v>2</v>
      </c>
      <c r="I197" t="s">
        <v>66</v>
      </c>
      <c r="J197">
        <v>46212</v>
      </c>
      <c r="K197" t="s">
        <v>53</v>
      </c>
      <c r="L197" t="s">
        <v>54</v>
      </c>
      <c r="M197" t="s">
        <v>41</v>
      </c>
      <c r="N197" s="2">
        <v>45269</v>
      </c>
      <c r="O197" s="2">
        <v>45269.666666666664</v>
      </c>
      <c r="P197" t="s">
        <v>55</v>
      </c>
      <c r="Q197" t="s">
        <v>29</v>
      </c>
      <c r="R197" t="s">
        <v>30</v>
      </c>
      <c r="S197">
        <v>10</v>
      </c>
      <c r="T197">
        <v>10</v>
      </c>
      <c r="U197" t="s">
        <v>68</v>
      </c>
      <c r="V197" t="str">
        <f t="shared" si="3"/>
        <v>Dec-2023</v>
      </c>
      <c r="W197" s="16">
        <f>Table1[[#This Row],[Consultation Date]] - Table1[[#This Row],[Appointment Date]]</f>
        <v>0.66666666666424135</v>
      </c>
    </row>
    <row r="198" spans="1:23" x14ac:dyDescent="0.3">
      <c r="A198" t="s">
        <v>255</v>
      </c>
      <c r="B198">
        <v>2</v>
      </c>
      <c r="C198" t="s">
        <v>45</v>
      </c>
      <c r="D198" s="2">
        <v>45123</v>
      </c>
      <c r="E198" s="2">
        <v>45129</v>
      </c>
      <c r="F198">
        <v>6</v>
      </c>
      <c r="G198" t="s">
        <v>57</v>
      </c>
      <c r="H198">
        <v>4</v>
      </c>
      <c r="I198" t="s">
        <v>24</v>
      </c>
      <c r="J198">
        <v>13210</v>
      </c>
      <c r="K198" t="s">
        <v>36</v>
      </c>
      <c r="L198" t="s">
        <v>26</v>
      </c>
      <c r="M198" t="s">
        <v>27</v>
      </c>
      <c r="N198" s="2">
        <v>45121</v>
      </c>
      <c r="O198" s="2">
        <v>45121.708333333336</v>
      </c>
      <c r="P198" t="s">
        <v>64</v>
      </c>
      <c r="Q198" t="s">
        <v>29</v>
      </c>
      <c r="R198" t="s">
        <v>43</v>
      </c>
      <c r="S198">
        <v>5</v>
      </c>
      <c r="T198">
        <v>12</v>
      </c>
      <c r="U198" t="s">
        <v>48</v>
      </c>
      <c r="V198" t="str">
        <f t="shared" si="3"/>
        <v>Jul-2023</v>
      </c>
      <c r="W198" s="16">
        <f>Table1[[#This Row],[Consultation Date]] - Table1[[#This Row],[Appointment Date]]</f>
        <v>0.70833333333575865</v>
      </c>
    </row>
    <row r="199" spans="1:23" x14ac:dyDescent="0.3">
      <c r="A199" t="s">
        <v>256</v>
      </c>
      <c r="B199">
        <v>3</v>
      </c>
      <c r="C199" t="s">
        <v>33</v>
      </c>
      <c r="D199" s="2">
        <v>45121</v>
      </c>
      <c r="E199" s="2">
        <v>45135</v>
      </c>
      <c r="F199">
        <v>14</v>
      </c>
      <c r="G199" t="s">
        <v>34</v>
      </c>
      <c r="H199">
        <v>4</v>
      </c>
      <c r="I199" t="s">
        <v>66</v>
      </c>
      <c r="J199">
        <v>7759</v>
      </c>
      <c r="K199" t="s">
        <v>53</v>
      </c>
      <c r="L199" t="s">
        <v>54</v>
      </c>
      <c r="M199" t="s">
        <v>27</v>
      </c>
      <c r="N199" s="2">
        <v>45120</v>
      </c>
      <c r="O199" s="2">
        <v>45121.791666666664</v>
      </c>
      <c r="P199" t="s">
        <v>64</v>
      </c>
      <c r="Q199" t="s">
        <v>29</v>
      </c>
      <c r="R199" t="s">
        <v>47</v>
      </c>
      <c r="S199">
        <v>5</v>
      </c>
      <c r="T199">
        <v>10</v>
      </c>
      <c r="U199" t="s">
        <v>48</v>
      </c>
      <c r="V199" t="str">
        <f t="shared" si="3"/>
        <v>Jul-2023</v>
      </c>
      <c r="W199" s="16">
        <f>Table1[[#This Row],[Consultation Date]] - Table1[[#This Row],[Appointment Date]]</f>
        <v>1.7916666666642413</v>
      </c>
    </row>
    <row r="200" spans="1:23" x14ac:dyDescent="0.3">
      <c r="A200" t="s">
        <v>257</v>
      </c>
      <c r="B200">
        <v>56</v>
      </c>
      <c r="C200" t="s">
        <v>33</v>
      </c>
      <c r="D200" s="2">
        <v>45386</v>
      </c>
      <c r="E200" s="2">
        <v>45630</v>
      </c>
      <c r="F200">
        <v>8</v>
      </c>
      <c r="G200" t="s">
        <v>50</v>
      </c>
      <c r="H200">
        <v>3</v>
      </c>
      <c r="I200" t="s">
        <v>35</v>
      </c>
      <c r="J200">
        <v>21091</v>
      </c>
      <c r="K200" t="s">
        <v>53</v>
      </c>
      <c r="L200" t="s">
        <v>54</v>
      </c>
      <c r="M200" t="s">
        <v>27</v>
      </c>
      <c r="N200" s="2">
        <v>45295</v>
      </c>
      <c r="O200" s="2">
        <v>45295.416666666664</v>
      </c>
      <c r="P200" t="s">
        <v>64</v>
      </c>
      <c r="Q200" t="s">
        <v>29</v>
      </c>
      <c r="R200" t="s">
        <v>43</v>
      </c>
      <c r="S200">
        <v>4</v>
      </c>
      <c r="T200">
        <v>12</v>
      </c>
      <c r="U200" t="s">
        <v>48</v>
      </c>
      <c r="V200" t="str">
        <f t="shared" si="3"/>
        <v>Apr-2024</v>
      </c>
      <c r="W200" s="16">
        <f>Table1[[#This Row],[Consultation Date]] - Table1[[#This Row],[Appointment Date]]</f>
        <v>0.41666666666424135</v>
      </c>
    </row>
    <row r="201" spans="1:23" x14ac:dyDescent="0.3">
      <c r="A201" t="s">
        <v>258</v>
      </c>
      <c r="B201">
        <v>81</v>
      </c>
      <c r="C201" t="s">
        <v>41</v>
      </c>
      <c r="D201" s="2">
        <v>45070</v>
      </c>
      <c r="E201" s="2">
        <v>45077</v>
      </c>
      <c r="F201">
        <v>7</v>
      </c>
      <c r="G201" t="s">
        <v>50</v>
      </c>
      <c r="H201">
        <v>3</v>
      </c>
      <c r="I201" t="s">
        <v>71</v>
      </c>
      <c r="J201">
        <v>5002</v>
      </c>
      <c r="K201" t="s">
        <v>25</v>
      </c>
      <c r="L201" t="s">
        <v>54</v>
      </c>
      <c r="M201" t="s">
        <v>27</v>
      </c>
      <c r="N201" s="2">
        <v>45070</v>
      </c>
      <c r="O201" s="2">
        <v>45071.916666666664</v>
      </c>
      <c r="P201" t="s">
        <v>64</v>
      </c>
      <c r="Q201" t="s">
        <v>29</v>
      </c>
      <c r="R201" t="s">
        <v>43</v>
      </c>
      <c r="S201">
        <v>8</v>
      </c>
      <c r="T201">
        <v>8</v>
      </c>
      <c r="U201" t="s">
        <v>31</v>
      </c>
      <c r="V201" t="str">
        <f t="shared" si="3"/>
        <v>May-2023</v>
      </c>
      <c r="W201" s="16">
        <f>Table1[[#This Row],[Consultation Date]] - Table1[[#This Row],[Appointment Date]]</f>
        <v>1.9166666666642413</v>
      </c>
    </row>
    <row r="202" spans="1:23" x14ac:dyDescent="0.3">
      <c r="A202" t="s">
        <v>259</v>
      </c>
      <c r="B202">
        <v>59</v>
      </c>
      <c r="C202" t="s">
        <v>62</v>
      </c>
      <c r="D202" s="2">
        <v>45507</v>
      </c>
      <c r="E202" s="2">
        <v>45366</v>
      </c>
      <c r="F202">
        <v>7</v>
      </c>
      <c r="G202" t="s">
        <v>63</v>
      </c>
      <c r="H202">
        <v>2</v>
      </c>
      <c r="I202" t="s">
        <v>71</v>
      </c>
      <c r="J202">
        <v>45958</v>
      </c>
      <c r="K202" t="s">
        <v>60</v>
      </c>
      <c r="L202" t="s">
        <v>54</v>
      </c>
      <c r="M202" t="s">
        <v>27</v>
      </c>
      <c r="N202" s="2">
        <v>45446</v>
      </c>
      <c r="O202" s="2">
        <v>45476.166666666664</v>
      </c>
      <c r="P202" t="s">
        <v>37</v>
      </c>
      <c r="Q202" t="s">
        <v>29</v>
      </c>
      <c r="R202" t="s">
        <v>30</v>
      </c>
      <c r="S202">
        <v>8</v>
      </c>
      <c r="T202">
        <v>12</v>
      </c>
      <c r="U202" t="s">
        <v>31</v>
      </c>
      <c r="V202" t="str">
        <f t="shared" si="3"/>
        <v>Aug-2024</v>
      </c>
      <c r="W202" s="16">
        <f>Table1[[#This Row],[Consultation Date]] - Table1[[#This Row],[Appointment Date]]</f>
        <v>30.166666666664241</v>
      </c>
    </row>
    <row r="203" spans="1:23" x14ac:dyDescent="0.3">
      <c r="A203" t="s">
        <v>260</v>
      </c>
      <c r="B203">
        <v>2</v>
      </c>
      <c r="C203" t="s">
        <v>22</v>
      </c>
      <c r="D203" s="2">
        <v>45114</v>
      </c>
      <c r="E203" s="2">
        <v>45126</v>
      </c>
      <c r="F203">
        <v>12</v>
      </c>
      <c r="G203" t="s">
        <v>57</v>
      </c>
      <c r="H203">
        <v>3</v>
      </c>
      <c r="I203" t="s">
        <v>46</v>
      </c>
      <c r="J203">
        <v>35160</v>
      </c>
      <c r="K203" t="s">
        <v>53</v>
      </c>
      <c r="L203" t="s">
        <v>26</v>
      </c>
      <c r="M203" t="s">
        <v>27</v>
      </c>
      <c r="N203" s="2">
        <v>45023</v>
      </c>
      <c r="O203" s="2">
        <v>45053.041666666664</v>
      </c>
      <c r="P203" t="s">
        <v>64</v>
      </c>
      <c r="Q203" t="s">
        <v>29</v>
      </c>
      <c r="R203" t="s">
        <v>47</v>
      </c>
      <c r="S203">
        <v>10</v>
      </c>
      <c r="T203">
        <v>8</v>
      </c>
      <c r="U203" t="s">
        <v>48</v>
      </c>
      <c r="V203" t="str">
        <f t="shared" si="3"/>
        <v>Jul-2023</v>
      </c>
      <c r="W203" s="16">
        <f>Table1[[#This Row],[Consultation Date]] - Table1[[#This Row],[Appointment Date]]</f>
        <v>30.041666666664241</v>
      </c>
    </row>
    <row r="204" spans="1:23" x14ac:dyDescent="0.3">
      <c r="A204" t="s">
        <v>261</v>
      </c>
      <c r="B204">
        <v>2</v>
      </c>
      <c r="C204" t="s">
        <v>41</v>
      </c>
      <c r="D204" s="2">
        <v>45212</v>
      </c>
      <c r="E204" s="2">
        <v>45214</v>
      </c>
      <c r="F204">
        <v>2</v>
      </c>
      <c r="G204" t="s">
        <v>50</v>
      </c>
      <c r="H204">
        <v>3</v>
      </c>
      <c r="I204" t="s">
        <v>35</v>
      </c>
      <c r="J204">
        <v>25707</v>
      </c>
      <c r="K204" t="s">
        <v>25</v>
      </c>
      <c r="L204" t="s">
        <v>54</v>
      </c>
      <c r="M204" t="s">
        <v>27</v>
      </c>
      <c r="N204" s="2">
        <v>45270</v>
      </c>
      <c r="O204" s="2">
        <v>45270.208333333336</v>
      </c>
      <c r="P204" t="s">
        <v>64</v>
      </c>
      <c r="Q204" t="s">
        <v>29</v>
      </c>
      <c r="R204" t="s">
        <v>43</v>
      </c>
      <c r="S204">
        <v>9</v>
      </c>
      <c r="T204">
        <v>12</v>
      </c>
      <c r="U204" t="s">
        <v>48</v>
      </c>
      <c r="V204" t="str">
        <f t="shared" si="3"/>
        <v>Oct-2023</v>
      </c>
      <c r="W204" s="16">
        <f>Table1[[#This Row],[Consultation Date]] - Table1[[#This Row],[Appointment Date]]</f>
        <v>0.20833333333575865</v>
      </c>
    </row>
    <row r="205" spans="1:23" x14ac:dyDescent="0.3">
      <c r="A205" t="s">
        <v>262</v>
      </c>
      <c r="B205">
        <v>54</v>
      </c>
      <c r="C205" t="s">
        <v>33</v>
      </c>
      <c r="D205" s="2">
        <v>45400</v>
      </c>
      <c r="E205" s="2">
        <v>45406</v>
      </c>
      <c r="F205">
        <v>6</v>
      </c>
      <c r="G205" t="s">
        <v>50</v>
      </c>
      <c r="H205">
        <v>3</v>
      </c>
      <c r="I205" t="s">
        <v>66</v>
      </c>
      <c r="J205">
        <v>20248</v>
      </c>
      <c r="K205" t="s">
        <v>67</v>
      </c>
      <c r="L205" t="s">
        <v>26</v>
      </c>
      <c r="M205" t="s">
        <v>27</v>
      </c>
      <c r="N205" s="2">
        <v>45399</v>
      </c>
      <c r="O205" s="2">
        <v>45400.208333333336</v>
      </c>
      <c r="P205" t="s">
        <v>37</v>
      </c>
      <c r="Q205" t="s">
        <v>29</v>
      </c>
      <c r="R205" t="s">
        <v>30</v>
      </c>
      <c r="S205">
        <v>5</v>
      </c>
      <c r="T205">
        <v>12</v>
      </c>
      <c r="U205" t="s">
        <v>48</v>
      </c>
      <c r="V205" t="str">
        <f t="shared" si="3"/>
        <v>Apr-2024</v>
      </c>
      <c r="W205" s="16">
        <f>Table1[[#This Row],[Consultation Date]] - Table1[[#This Row],[Appointment Date]]</f>
        <v>1.2083333333357587</v>
      </c>
    </row>
    <row r="206" spans="1:23" x14ac:dyDescent="0.3">
      <c r="A206" t="s">
        <v>263</v>
      </c>
      <c r="B206">
        <v>87</v>
      </c>
      <c r="C206" t="s">
        <v>45</v>
      </c>
      <c r="D206" s="2">
        <v>45182</v>
      </c>
      <c r="E206" s="2">
        <v>45189</v>
      </c>
      <c r="F206">
        <v>7</v>
      </c>
      <c r="G206" t="s">
        <v>34</v>
      </c>
      <c r="H206">
        <v>4</v>
      </c>
      <c r="I206" t="s">
        <v>71</v>
      </c>
      <c r="J206">
        <v>10773</v>
      </c>
      <c r="K206" t="s">
        <v>25</v>
      </c>
      <c r="L206" t="s">
        <v>54</v>
      </c>
      <c r="M206" t="s">
        <v>27</v>
      </c>
      <c r="N206" s="2">
        <v>45182</v>
      </c>
      <c r="O206" s="2">
        <v>45183.625</v>
      </c>
      <c r="P206" t="s">
        <v>64</v>
      </c>
      <c r="Q206" t="s">
        <v>29</v>
      </c>
      <c r="R206" t="s">
        <v>30</v>
      </c>
      <c r="S206">
        <v>6</v>
      </c>
      <c r="T206">
        <v>10</v>
      </c>
      <c r="U206" t="s">
        <v>48</v>
      </c>
      <c r="V206" t="str">
        <f t="shared" si="3"/>
        <v>Sep-2023</v>
      </c>
      <c r="W206" s="16">
        <f>Table1[[#This Row],[Consultation Date]] - Table1[[#This Row],[Appointment Date]]</f>
        <v>1.625</v>
      </c>
    </row>
    <row r="207" spans="1:23" x14ac:dyDescent="0.3">
      <c r="A207" t="s">
        <v>264</v>
      </c>
      <c r="B207">
        <v>1</v>
      </c>
      <c r="C207" t="s">
        <v>33</v>
      </c>
      <c r="D207" s="2">
        <v>45004</v>
      </c>
      <c r="E207" s="2">
        <v>45010</v>
      </c>
      <c r="F207">
        <v>6</v>
      </c>
      <c r="G207" t="s">
        <v>40</v>
      </c>
      <c r="H207">
        <v>2</v>
      </c>
      <c r="I207" t="s">
        <v>35</v>
      </c>
      <c r="J207">
        <v>17786</v>
      </c>
      <c r="K207" t="s">
        <v>25</v>
      </c>
      <c r="L207" t="s">
        <v>26</v>
      </c>
      <c r="M207" t="s">
        <v>41</v>
      </c>
      <c r="N207" s="2">
        <v>45004</v>
      </c>
      <c r="O207" s="2">
        <v>45005.291666666664</v>
      </c>
      <c r="P207" t="s">
        <v>55</v>
      </c>
      <c r="Q207" t="s">
        <v>38</v>
      </c>
      <c r="R207" t="s">
        <v>30</v>
      </c>
      <c r="S207">
        <v>4</v>
      </c>
      <c r="T207">
        <v>12</v>
      </c>
      <c r="U207" t="s">
        <v>48</v>
      </c>
      <c r="V207" t="str">
        <f t="shared" si="3"/>
        <v>Mar-2023</v>
      </c>
      <c r="W207" s="16">
        <f>Table1[[#This Row],[Consultation Date]] - Table1[[#This Row],[Appointment Date]]</f>
        <v>1.2916666666642413</v>
      </c>
    </row>
    <row r="208" spans="1:23" x14ac:dyDescent="0.3">
      <c r="A208" t="s">
        <v>265</v>
      </c>
      <c r="B208">
        <v>19</v>
      </c>
      <c r="C208" t="s">
        <v>45</v>
      </c>
      <c r="D208" s="2">
        <v>45380</v>
      </c>
      <c r="E208" s="2">
        <v>45539</v>
      </c>
      <c r="F208">
        <v>11</v>
      </c>
      <c r="G208" t="s">
        <v>63</v>
      </c>
      <c r="H208">
        <v>4</v>
      </c>
      <c r="I208" t="s">
        <v>71</v>
      </c>
      <c r="J208">
        <v>20037</v>
      </c>
      <c r="K208" t="s">
        <v>25</v>
      </c>
      <c r="L208" t="s">
        <v>54</v>
      </c>
      <c r="M208" t="s">
        <v>41</v>
      </c>
      <c r="N208" s="2">
        <v>45378</v>
      </c>
      <c r="O208" s="2">
        <v>45379.583333333336</v>
      </c>
      <c r="P208" t="s">
        <v>55</v>
      </c>
      <c r="Q208" t="s">
        <v>29</v>
      </c>
      <c r="R208" t="s">
        <v>47</v>
      </c>
      <c r="S208">
        <v>11</v>
      </c>
      <c r="T208">
        <v>8</v>
      </c>
      <c r="U208" t="s">
        <v>48</v>
      </c>
      <c r="V208" t="str">
        <f t="shared" si="3"/>
        <v>Mar-2024</v>
      </c>
      <c r="W208" s="16">
        <f>Table1[[#This Row],[Consultation Date]] - Table1[[#This Row],[Appointment Date]]</f>
        <v>1.5833333333357587</v>
      </c>
    </row>
    <row r="209" spans="1:23" x14ac:dyDescent="0.3">
      <c r="A209" t="s">
        <v>266</v>
      </c>
      <c r="B209">
        <v>2</v>
      </c>
      <c r="C209" t="s">
        <v>41</v>
      </c>
      <c r="D209" s="2">
        <v>45234</v>
      </c>
      <c r="E209" s="2">
        <v>45032</v>
      </c>
      <c r="F209">
        <v>5</v>
      </c>
      <c r="G209" t="s">
        <v>63</v>
      </c>
      <c r="H209">
        <v>5</v>
      </c>
      <c r="I209" t="s">
        <v>66</v>
      </c>
      <c r="J209">
        <v>6885</v>
      </c>
      <c r="K209" t="s">
        <v>53</v>
      </c>
      <c r="L209" t="s">
        <v>54</v>
      </c>
      <c r="M209" t="s">
        <v>41</v>
      </c>
      <c r="N209" s="2">
        <v>45142</v>
      </c>
      <c r="O209" s="2">
        <v>45173.083333333336</v>
      </c>
      <c r="P209" t="s">
        <v>42</v>
      </c>
      <c r="Q209" t="s">
        <v>29</v>
      </c>
      <c r="R209" t="s">
        <v>47</v>
      </c>
      <c r="S209">
        <v>8</v>
      </c>
      <c r="T209">
        <v>12</v>
      </c>
      <c r="U209" t="s">
        <v>68</v>
      </c>
      <c r="V209" t="str">
        <f t="shared" si="3"/>
        <v>Nov-2023</v>
      </c>
      <c r="W209" s="16">
        <f>Table1[[#This Row],[Consultation Date]] - Table1[[#This Row],[Appointment Date]]</f>
        <v>31.083333333335759</v>
      </c>
    </row>
    <row r="210" spans="1:23" x14ac:dyDescent="0.3">
      <c r="A210" t="s">
        <v>267</v>
      </c>
      <c r="B210">
        <v>53</v>
      </c>
      <c r="C210" t="s">
        <v>62</v>
      </c>
      <c r="D210" s="2">
        <v>44978</v>
      </c>
      <c r="E210" s="2">
        <v>44984</v>
      </c>
      <c r="F210">
        <v>6</v>
      </c>
      <c r="G210" t="s">
        <v>40</v>
      </c>
      <c r="H210">
        <v>4</v>
      </c>
      <c r="I210" t="s">
        <v>71</v>
      </c>
      <c r="J210">
        <v>44828</v>
      </c>
      <c r="K210" t="s">
        <v>53</v>
      </c>
      <c r="L210" t="s">
        <v>54</v>
      </c>
      <c r="M210" t="s">
        <v>41</v>
      </c>
      <c r="N210" s="2">
        <v>44974</v>
      </c>
      <c r="O210" s="2">
        <v>44975.458333333336</v>
      </c>
      <c r="P210" t="s">
        <v>55</v>
      </c>
      <c r="Q210" t="s">
        <v>29</v>
      </c>
      <c r="R210" t="s">
        <v>30</v>
      </c>
      <c r="S210">
        <v>7</v>
      </c>
      <c r="T210">
        <v>8</v>
      </c>
      <c r="U210" t="s">
        <v>48</v>
      </c>
      <c r="V210" t="str">
        <f t="shared" si="3"/>
        <v>Feb-2023</v>
      </c>
      <c r="W210" s="16">
        <f>Table1[[#This Row],[Consultation Date]] - Table1[[#This Row],[Appointment Date]]</f>
        <v>1.4583333333357587</v>
      </c>
    </row>
    <row r="211" spans="1:23" x14ac:dyDescent="0.3">
      <c r="A211" t="s">
        <v>268</v>
      </c>
      <c r="B211">
        <v>44</v>
      </c>
      <c r="C211" t="s">
        <v>33</v>
      </c>
      <c r="D211" s="2">
        <v>44942</v>
      </c>
      <c r="E211" s="2">
        <v>44945</v>
      </c>
      <c r="F211">
        <v>3</v>
      </c>
      <c r="G211" t="s">
        <v>50</v>
      </c>
      <c r="H211">
        <v>5</v>
      </c>
      <c r="I211" t="s">
        <v>46</v>
      </c>
      <c r="J211">
        <v>21331</v>
      </c>
      <c r="K211" t="s">
        <v>67</v>
      </c>
      <c r="L211" t="s">
        <v>26</v>
      </c>
      <c r="M211" t="s">
        <v>27</v>
      </c>
      <c r="N211" s="2">
        <v>44939</v>
      </c>
      <c r="O211" s="2">
        <v>44940.375</v>
      </c>
      <c r="P211" t="s">
        <v>28</v>
      </c>
      <c r="Q211" t="s">
        <v>29</v>
      </c>
      <c r="R211" t="s">
        <v>47</v>
      </c>
      <c r="S211">
        <v>7</v>
      </c>
      <c r="T211">
        <v>8</v>
      </c>
      <c r="U211" t="s">
        <v>31</v>
      </c>
      <c r="V211" t="str">
        <f t="shared" si="3"/>
        <v>Jan-2023</v>
      </c>
      <c r="W211" s="16">
        <f>Table1[[#This Row],[Consultation Date]] - Table1[[#This Row],[Appointment Date]]</f>
        <v>1.375</v>
      </c>
    </row>
    <row r="212" spans="1:23" x14ac:dyDescent="0.3">
      <c r="A212" t="s">
        <v>269</v>
      </c>
      <c r="B212">
        <v>32</v>
      </c>
      <c r="C212" t="s">
        <v>45</v>
      </c>
      <c r="D212" s="2">
        <v>45081</v>
      </c>
      <c r="E212" s="2">
        <v>45033</v>
      </c>
      <c r="F212">
        <v>11</v>
      </c>
      <c r="G212" t="s">
        <v>34</v>
      </c>
      <c r="H212">
        <v>1</v>
      </c>
      <c r="I212" t="s">
        <v>46</v>
      </c>
      <c r="J212">
        <v>45612</v>
      </c>
      <c r="K212" t="s">
        <v>36</v>
      </c>
      <c r="L212" t="s">
        <v>26</v>
      </c>
      <c r="M212" t="s">
        <v>27</v>
      </c>
      <c r="N212" s="2">
        <v>45050</v>
      </c>
      <c r="O212" s="2">
        <v>45081.875</v>
      </c>
      <c r="P212" t="s">
        <v>28</v>
      </c>
      <c r="Q212" t="s">
        <v>38</v>
      </c>
      <c r="R212" t="s">
        <v>47</v>
      </c>
      <c r="S212">
        <v>6</v>
      </c>
      <c r="T212">
        <v>12</v>
      </c>
      <c r="U212" t="s">
        <v>31</v>
      </c>
      <c r="V212" t="str">
        <f t="shared" si="3"/>
        <v>Jun-2023</v>
      </c>
      <c r="W212" s="16">
        <f>Table1[[#This Row],[Consultation Date]] - Table1[[#This Row],[Appointment Date]]</f>
        <v>31.875</v>
      </c>
    </row>
    <row r="213" spans="1:23" x14ac:dyDescent="0.3">
      <c r="A213" t="s">
        <v>270</v>
      </c>
      <c r="B213">
        <v>70</v>
      </c>
      <c r="C213" t="s">
        <v>62</v>
      </c>
      <c r="D213" s="2">
        <v>45169</v>
      </c>
      <c r="E213" s="2">
        <v>45184</v>
      </c>
      <c r="F213">
        <v>15</v>
      </c>
      <c r="G213" t="s">
        <v>34</v>
      </c>
      <c r="H213">
        <v>1</v>
      </c>
      <c r="I213" t="s">
        <v>71</v>
      </c>
      <c r="J213">
        <v>27495</v>
      </c>
      <c r="K213" t="s">
        <v>36</v>
      </c>
      <c r="L213" t="s">
        <v>54</v>
      </c>
      <c r="M213" t="s">
        <v>27</v>
      </c>
      <c r="N213" s="2">
        <v>45168</v>
      </c>
      <c r="O213" s="2">
        <v>45169.125</v>
      </c>
      <c r="P213" t="s">
        <v>28</v>
      </c>
      <c r="Q213" t="s">
        <v>29</v>
      </c>
      <c r="R213" t="s">
        <v>43</v>
      </c>
      <c r="S213">
        <v>5</v>
      </c>
      <c r="T213">
        <v>10</v>
      </c>
      <c r="U213" t="s">
        <v>31</v>
      </c>
      <c r="V213" t="str">
        <f t="shared" si="3"/>
        <v>Aug-2023</v>
      </c>
      <c r="W213" s="16">
        <f>Table1[[#This Row],[Consultation Date]] - Table1[[#This Row],[Appointment Date]]</f>
        <v>1.125</v>
      </c>
    </row>
    <row r="214" spans="1:23" x14ac:dyDescent="0.3">
      <c r="A214" t="s">
        <v>271</v>
      </c>
      <c r="B214">
        <v>32</v>
      </c>
      <c r="C214" t="s">
        <v>22</v>
      </c>
      <c r="D214" s="2">
        <v>45097</v>
      </c>
      <c r="E214" s="2">
        <v>45105</v>
      </c>
      <c r="F214">
        <v>8</v>
      </c>
      <c r="G214" t="s">
        <v>63</v>
      </c>
      <c r="H214">
        <v>5</v>
      </c>
      <c r="I214" t="s">
        <v>35</v>
      </c>
      <c r="J214">
        <v>18450</v>
      </c>
      <c r="K214" t="s">
        <v>36</v>
      </c>
      <c r="L214" t="s">
        <v>26</v>
      </c>
      <c r="M214" t="s">
        <v>27</v>
      </c>
      <c r="N214" s="2">
        <v>45095</v>
      </c>
      <c r="O214" s="2">
        <v>45096.458333333336</v>
      </c>
      <c r="P214" t="s">
        <v>37</v>
      </c>
      <c r="Q214" t="s">
        <v>29</v>
      </c>
      <c r="R214" t="s">
        <v>30</v>
      </c>
      <c r="S214">
        <v>5</v>
      </c>
      <c r="T214">
        <v>12</v>
      </c>
      <c r="U214" t="s">
        <v>48</v>
      </c>
      <c r="V214" t="str">
        <f t="shared" si="3"/>
        <v>Jun-2023</v>
      </c>
      <c r="W214" s="16">
        <f>Table1[[#This Row],[Consultation Date]] - Table1[[#This Row],[Appointment Date]]</f>
        <v>1.4583333333357587</v>
      </c>
    </row>
    <row r="215" spans="1:23" x14ac:dyDescent="0.3">
      <c r="A215" t="s">
        <v>272</v>
      </c>
      <c r="B215">
        <v>68</v>
      </c>
      <c r="C215" t="s">
        <v>45</v>
      </c>
      <c r="D215" s="2">
        <v>45343</v>
      </c>
      <c r="E215" s="2">
        <v>45345</v>
      </c>
      <c r="F215">
        <v>2</v>
      </c>
      <c r="G215" t="s">
        <v>34</v>
      </c>
      <c r="H215">
        <v>5</v>
      </c>
      <c r="I215" t="s">
        <v>35</v>
      </c>
      <c r="J215">
        <v>14491</v>
      </c>
      <c r="K215" t="s">
        <v>67</v>
      </c>
      <c r="L215" t="s">
        <v>54</v>
      </c>
      <c r="M215" t="s">
        <v>27</v>
      </c>
      <c r="N215" s="2">
        <v>45339</v>
      </c>
      <c r="O215" s="2">
        <v>45339.125</v>
      </c>
      <c r="P215" t="s">
        <v>55</v>
      </c>
      <c r="Q215" t="s">
        <v>29</v>
      </c>
      <c r="R215" t="s">
        <v>30</v>
      </c>
      <c r="S215">
        <v>5</v>
      </c>
      <c r="T215">
        <v>12</v>
      </c>
      <c r="U215" t="s">
        <v>31</v>
      </c>
      <c r="V215" t="str">
        <f t="shared" si="3"/>
        <v>Feb-2024</v>
      </c>
      <c r="W215" s="16">
        <f>Table1[[#This Row],[Consultation Date]] - Table1[[#This Row],[Appointment Date]]</f>
        <v>0.125</v>
      </c>
    </row>
    <row r="216" spans="1:23" x14ac:dyDescent="0.3">
      <c r="A216" t="s">
        <v>273</v>
      </c>
      <c r="B216">
        <v>55</v>
      </c>
      <c r="C216" t="s">
        <v>41</v>
      </c>
      <c r="D216" s="2">
        <v>45631</v>
      </c>
      <c r="E216" s="2">
        <v>45426</v>
      </c>
      <c r="F216">
        <v>2</v>
      </c>
      <c r="G216" t="s">
        <v>23</v>
      </c>
      <c r="H216">
        <v>4</v>
      </c>
      <c r="I216" t="s">
        <v>35</v>
      </c>
      <c r="J216">
        <v>14268</v>
      </c>
      <c r="K216" t="s">
        <v>36</v>
      </c>
      <c r="L216" t="s">
        <v>54</v>
      </c>
      <c r="M216" t="s">
        <v>41</v>
      </c>
      <c r="N216" s="2">
        <v>45478</v>
      </c>
      <c r="O216" s="2">
        <v>45509</v>
      </c>
      <c r="P216" t="s">
        <v>28</v>
      </c>
      <c r="Q216" t="s">
        <v>29</v>
      </c>
      <c r="R216" t="s">
        <v>47</v>
      </c>
      <c r="S216">
        <v>9</v>
      </c>
      <c r="T216">
        <v>10</v>
      </c>
      <c r="U216" t="s">
        <v>68</v>
      </c>
      <c r="V216" t="str">
        <f t="shared" si="3"/>
        <v>Dec-2024</v>
      </c>
      <c r="W216" s="16">
        <f>Table1[[#This Row],[Consultation Date]] - Table1[[#This Row],[Appointment Date]]</f>
        <v>31</v>
      </c>
    </row>
    <row r="217" spans="1:23" x14ac:dyDescent="0.3">
      <c r="A217" t="s">
        <v>274</v>
      </c>
      <c r="B217">
        <v>75</v>
      </c>
      <c r="C217" t="s">
        <v>22</v>
      </c>
      <c r="D217" s="2">
        <v>45478</v>
      </c>
      <c r="E217" s="2">
        <v>45433</v>
      </c>
      <c r="F217">
        <v>14</v>
      </c>
      <c r="G217" t="s">
        <v>40</v>
      </c>
      <c r="H217">
        <v>5</v>
      </c>
      <c r="I217" t="s">
        <v>71</v>
      </c>
      <c r="J217">
        <v>32757</v>
      </c>
      <c r="K217" t="s">
        <v>36</v>
      </c>
      <c r="L217" t="s">
        <v>54</v>
      </c>
      <c r="M217" t="s">
        <v>41</v>
      </c>
      <c r="N217" s="2">
        <v>45417</v>
      </c>
      <c r="O217" s="2">
        <v>45448.875</v>
      </c>
      <c r="P217" t="s">
        <v>42</v>
      </c>
      <c r="Q217" t="s">
        <v>29</v>
      </c>
      <c r="R217" t="s">
        <v>30</v>
      </c>
      <c r="S217">
        <v>10</v>
      </c>
      <c r="T217">
        <v>8</v>
      </c>
      <c r="U217" t="s">
        <v>48</v>
      </c>
      <c r="V217" t="str">
        <f t="shared" si="3"/>
        <v>Jul-2024</v>
      </c>
      <c r="W217" s="16">
        <f>Table1[[#This Row],[Consultation Date]] - Table1[[#This Row],[Appointment Date]]</f>
        <v>31.875</v>
      </c>
    </row>
    <row r="218" spans="1:23" x14ac:dyDescent="0.3">
      <c r="A218" t="s">
        <v>275</v>
      </c>
      <c r="B218">
        <v>56</v>
      </c>
      <c r="C218" t="s">
        <v>22</v>
      </c>
      <c r="D218" s="2">
        <v>45115</v>
      </c>
      <c r="E218" s="2">
        <v>45177</v>
      </c>
      <c r="F218">
        <v>2</v>
      </c>
      <c r="G218" t="s">
        <v>50</v>
      </c>
      <c r="H218">
        <v>2</v>
      </c>
      <c r="I218" t="s">
        <v>35</v>
      </c>
      <c r="J218">
        <v>46907</v>
      </c>
      <c r="K218" t="s">
        <v>25</v>
      </c>
      <c r="L218" t="s">
        <v>26</v>
      </c>
      <c r="M218" t="s">
        <v>41</v>
      </c>
      <c r="N218" s="2">
        <v>45085</v>
      </c>
      <c r="O218" s="2">
        <v>45115.458333333336</v>
      </c>
      <c r="P218" t="s">
        <v>37</v>
      </c>
      <c r="Q218" t="s">
        <v>29</v>
      </c>
      <c r="R218" t="s">
        <v>30</v>
      </c>
      <c r="S218">
        <v>7</v>
      </c>
      <c r="T218">
        <v>12</v>
      </c>
      <c r="U218" t="s">
        <v>31</v>
      </c>
      <c r="V218" t="str">
        <f t="shared" si="3"/>
        <v>Jul-2023</v>
      </c>
      <c r="W218" s="16">
        <f>Table1[[#This Row],[Consultation Date]] - Table1[[#This Row],[Appointment Date]]</f>
        <v>30.458333333335759</v>
      </c>
    </row>
    <row r="219" spans="1:23" x14ac:dyDescent="0.3">
      <c r="A219" t="s">
        <v>276</v>
      </c>
      <c r="B219">
        <v>17</v>
      </c>
      <c r="C219" t="s">
        <v>52</v>
      </c>
      <c r="D219" s="2">
        <v>45337</v>
      </c>
      <c r="E219" s="2">
        <v>45339</v>
      </c>
      <c r="F219">
        <v>2</v>
      </c>
      <c r="G219" t="s">
        <v>23</v>
      </c>
      <c r="H219">
        <v>1</v>
      </c>
      <c r="I219" t="s">
        <v>66</v>
      </c>
      <c r="J219">
        <v>11791</v>
      </c>
      <c r="K219" t="s">
        <v>53</v>
      </c>
      <c r="L219" t="s">
        <v>26</v>
      </c>
      <c r="M219" t="s">
        <v>27</v>
      </c>
      <c r="N219" s="2">
        <v>45336</v>
      </c>
      <c r="O219" s="2">
        <v>45337.625</v>
      </c>
      <c r="P219" t="s">
        <v>42</v>
      </c>
      <c r="Q219" t="s">
        <v>29</v>
      </c>
      <c r="R219" t="s">
        <v>30</v>
      </c>
      <c r="S219">
        <v>5</v>
      </c>
      <c r="T219">
        <v>10</v>
      </c>
      <c r="U219" t="s">
        <v>68</v>
      </c>
      <c r="V219" t="str">
        <f t="shared" si="3"/>
        <v>Feb-2024</v>
      </c>
      <c r="W219" s="16">
        <f>Table1[[#This Row],[Consultation Date]] - Table1[[#This Row],[Appointment Date]]</f>
        <v>1.625</v>
      </c>
    </row>
    <row r="220" spans="1:23" x14ac:dyDescent="0.3">
      <c r="A220" t="s">
        <v>277</v>
      </c>
      <c r="B220">
        <v>38</v>
      </c>
      <c r="C220" t="s">
        <v>33</v>
      </c>
      <c r="D220" s="2">
        <v>44960</v>
      </c>
      <c r="E220" s="2">
        <v>45172</v>
      </c>
      <c r="F220">
        <v>7</v>
      </c>
      <c r="G220" t="s">
        <v>40</v>
      </c>
      <c r="H220">
        <v>1</v>
      </c>
      <c r="I220" t="s">
        <v>46</v>
      </c>
      <c r="J220">
        <v>44939</v>
      </c>
      <c r="K220" t="s">
        <v>53</v>
      </c>
      <c r="L220" t="s">
        <v>54</v>
      </c>
      <c r="M220" t="s">
        <v>41</v>
      </c>
      <c r="N220" s="2">
        <v>44984</v>
      </c>
      <c r="O220" s="2">
        <v>44985.708333333336</v>
      </c>
      <c r="P220" t="s">
        <v>55</v>
      </c>
      <c r="Q220" t="s">
        <v>29</v>
      </c>
      <c r="R220" t="s">
        <v>47</v>
      </c>
      <c r="S220">
        <v>7</v>
      </c>
      <c r="T220">
        <v>10</v>
      </c>
      <c r="U220" t="s">
        <v>68</v>
      </c>
      <c r="V220" t="str">
        <f t="shared" si="3"/>
        <v>Feb-2023</v>
      </c>
      <c r="W220" s="16">
        <f>Table1[[#This Row],[Consultation Date]] - Table1[[#This Row],[Appointment Date]]</f>
        <v>1.7083333333357587</v>
      </c>
    </row>
    <row r="221" spans="1:23" x14ac:dyDescent="0.3">
      <c r="A221" t="s">
        <v>278</v>
      </c>
      <c r="B221">
        <v>24</v>
      </c>
      <c r="C221" t="s">
        <v>45</v>
      </c>
      <c r="D221" s="2">
        <v>45095</v>
      </c>
      <c r="E221" s="2">
        <v>45097</v>
      </c>
      <c r="F221">
        <v>2</v>
      </c>
      <c r="G221" t="s">
        <v>57</v>
      </c>
      <c r="H221">
        <v>5</v>
      </c>
      <c r="I221" t="s">
        <v>66</v>
      </c>
      <c r="J221">
        <v>33314</v>
      </c>
      <c r="K221" t="s">
        <v>25</v>
      </c>
      <c r="L221" t="s">
        <v>54</v>
      </c>
      <c r="M221" t="s">
        <v>41</v>
      </c>
      <c r="N221" s="2">
        <v>45091</v>
      </c>
      <c r="O221" s="2">
        <v>45091.25</v>
      </c>
      <c r="P221" t="s">
        <v>64</v>
      </c>
      <c r="Q221" t="s">
        <v>29</v>
      </c>
      <c r="R221" t="s">
        <v>47</v>
      </c>
      <c r="S221">
        <v>6</v>
      </c>
      <c r="T221">
        <v>8</v>
      </c>
      <c r="U221" t="s">
        <v>31</v>
      </c>
      <c r="V221" t="str">
        <f t="shared" si="3"/>
        <v>Jun-2023</v>
      </c>
      <c r="W221" s="16">
        <f>Table1[[#This Row],[Consultation Date]] - Table1[[#This Row],[Appointment Date]]</f>
        <v>0.25</v>
      </c>
    </row>
    <row r="222" spans="1:23" x14ac:dyDescent="0.3">
      <c r="A222" t="s">
        <v>279</v>
      </c>
      <c r="B222">
        <v>69</v>
      </c>
      <c r="C222" t="s">
        <v>22</v>
      </c>
      <c r="D222" s="2">
        <v>45315</v>
      </c>
      <c r="E222" s="2">
        <v>45414</v>
      </c>
      <c r="F222">
        <v>12</v>
      </c>
      <c r="G222" t="s">
        <v>63</v>
      </c>
      <c r="H222">
        <v>3</v>
      </c>
      <c r="I222" t="s">
        <v>35</v>
      </c>
      <c r="J222">
        <v>33583</v>
      </c>
      <c r="K222" t="s">
        <v>25</v>
      </c>
      <c r="L222" t="s">
        <v>54</v>
      </c>
      <c r="M222" t="s">
        <v>27</v>
      </c>
      <c r="N222" s="2">
        <v>45312</v>
      </c>
      <c r="O222" s="2">
        <v>45312.291666666664</v>
      </c>
      <c r="P222" t="s">
        <v>42</v>
      </c>
      <c r="Q222" t="s">
        <v>29</v>
      </c>
      <c r="R222" t="s">
        <v>47</v>
      </c>
      <c r="S222">
        <v>4</v>
      </c>
      <c r="T222">
        <v>10</v>
      </c>
      <c r="U222" t="s">
        <v>68</v>
      </c>
      <c r="V222" t="str">
        <f t="shared" si="3"/>
        <v>Jan-2024</v>
      </c>
      <c r="W222" s="16">
        <f>Table1[[#This Row],[Consultation Date]] - Table1[[#This Row],[Appointment Date]]</f>
        <v>0.29166666666424135</v>
      </c>
    </row>
    <row r="223" spans="1:23" x14ac:dyDescent="0.3">
      <c r="A223" t="s">
        <v>280</v>
      </c>
      <c r="B223">
        <v>70</v>
      </c>
      <c r="C223" t="s">
        <v>52</v>
      </c>
      <c r="D223" s="2">
        <v>44986</v>
      </c>
      <c r="E223" s="2">
        <v>44941</v>
      </c>
      <c r="F223">
        <v>12</v>
      </c>
      <c r="G223" t="s">
        <v>34</v>
      </c>
      <c r="H223">
        <v>3</v>
      </c>
      <c r="I223" t="s">
        <v>66</v>
      </c>
      <c r="J223">
        <v>26550</v>
      </c>
      <c r="K223" t="s">
        <v>25</v>
      </c>
      <c r="L223" t="s">
        <v>54</v>
      </c>
      <c r="M223" t="s">
        <v>27</v>
      </c>
      <c r="N223" s="2">
        <v>44926</v>
      </c>
      <c r="O223" s="2">
        <v>44926.666666666664</v>
      </c>
      <c r="P223" t="s">
        <v>64</v>
      </c>
      <c r="Q223" t="s">
        <v>29</v>
      </c>
      <c r="R223" t="s">
        <v>43</v>
      </c>
      <c r="S223">
        <v>10</v>
      </c>
      <c r="T223">
        <v>8</v>
      </c>
      <c r="U223" t="s">
        <v>31</v>
      </c>
      <c r="V223" t="str">
        <f t="shared" si="3"/>
        <v>Mar-2023</v>
      </c>
      <c r="W223" s="16">
        <f>Table1[[#This Row],[Consultation Date]] - Table1[[#This Row],[Appointment Date]]</f>
        <v>0.66666666666424135</v>
      </c>
    </row>
    <row r="224" spans="1:23" x14ac:dyDescent="0.3">
      <c r="A224" t="s">
        <v>281</v>
      </c>
      <c r="B224">
        <v>86</v>
      </c>
      <c r="C224" t="s">
        <v>41</v>
      </c>
      <c r="D224" s="2">
        <v>45384</v>
      </c>
      <c r="E224" s="2">
        <v>45567</v>
      </c>
      <c r="F224">
        <v>6</v>
      </c>
      <c r="G224" t="s">
        <v>57</v>
      </c>
      <c r="H224">
        <v>5</v>
      </c>
      <c r="I224" t="s">
        <v>35</v>
      </c>
      <c r="J224">
        <v>5093</v>
      </c>
      <c r="K224" t="s">
        <v>53</v>
      </c>
      <c r="L224" t="s">
        <v>54</v>
      </c>
      <c r="M224" t="s">
        <v>41</v>
      </c>
      <c r="N224" s="2">
        <v>45324</v>
      </c>
      <c r="O224" s="2">
        <v>45353.791666666664</v>
      </c>
      <c r="P224" t="s">
        <v>37</v>
      </c>
      <c r="Q224" t="s">
        <v>29</v>
      </c>
      <c r="R224" t="s">
        <v>30</v>
      </c>
      <c r="S224">
        <v>9</v>
      </c>
      <c r="T224">
        <v>12</v>
      </c>
      <c r="U224" t="s">
        <v>68</v>
      </c>
      <c r="V224" t="str">
        <f t="shared" si="3"/>
        <v>Apr-2024</v>
      </c>
      <c r="W224" s="16">
        <f>Table1[[#This Row],[Consultation Date]] - Table1[[#This Row],[Appointment Date]]</f>
        <v>29.791666666664241</v>
      </c>
    </row>
    <row r="225" spans="1:23" x14ac:dyDescent="0.3">
      <c r="A225" t="s">
        <v>282</v>
      </c>
      <c r="B225">
        <v>11</v>
      </c>
      <c r="C225" t="s">
        <v>62</v>
      </c>
      <c r="D225" s="2">
        <v>45198</v>
      </c>
      <c r="E225" s="2">
        <v>45270</v>
      </c>
      <c r="F225">
        <v>13</v>
      </c>
      <c r="G225" t="s">
        <v>34</v>
      </c>
      <c r="H225">
        <v>2</v>
      </c>
      <c r="I225" t="s">
        <v>71</v>
      </c>
      <c r="J225">
        <v>40755</v>
      </c>
      <c r="K225" t="s">
        <v>36</v>
      </c>
      <c r="L225" t="s">
        <v>54</v>
      </c>
      <c r="M225" t="s">
        <v>27</v>
      </c>
      <c r="N225" s="2">
        <v>45195</v>
      </c>
      <c r="O225" s="2">
        <v>45196.791666666664</v>
      </c>
      <c r="P225" t="s">
        <v>42</v>
      </c>
      <c r="Q225" t="s">
        <v>29</v>
      </c>
      <c r="R225" t="s">
        <v>43</v>
      </c>
      <c r="S225">
        <v>8</v>
      </c>
      <c r="T225">
        <v>10</v>
      </c>
      <c r="U225" t="s">
        <v>48</v>
      </c>
      <c r="V225" t="str">
        <f t="shared" si="3"/>
        <v>Sep-2023</v>
      </c>
      <c r="W225" s="16">
        <f>Table1[[#This Row],[Consultation Date]] - Table1[[#This Row],[Appointment Date]]</f>
        <v>1.7916666666642413</v>
      </c>
    </row>
    <row r="226" spans="1:23" x14ac:dyDescent="0.3">
      <c r="A226" t="s">
        <v>283</v>
      </c>
      <c r="B226">
        <v>16</v>
      </c>
      <c r="C226" t="s">
        <v>45</v>
      </c>
      <c r="D226" s="2">
        <v>45569</v>
      </c>
      <c r="E226" s="2">
        <v>45395</v>
      </c>
      <c r="F226">
        <v>3</v>
      </c>
      <c r="G226" t="s">
        <v>23</v>
      </c>
      <c r="H226">
        <v>3</v>
      </c>
      <c r="I226" t="s">
        <v>66</v>
      </c>
      <c r="J226">
        <v>14967</v>
      </c>
      <c r="K226" t="s">
        <v>25</v>
      </c>
      <c r="L226" t="s">
        <v>54</v>
      </c>
      <c r="M226" t="s">
        <v>27</v>
      </c>
      <c r="N226" s="2">
        <v>45569</v>
      </c>
      <c r="O226" s="2">
        <v>45569.958333333336</v>
      </c>
      <c r="P226" t="s">
        <v>42</v>
      </c>
      <c r="Q226" t="s">
        <v>29</v>
      </c>
      <c r="R226" t="s">
        <v>47</v>
      </c>
      <c r="S226">
        <v>6</v>
      </c>
      <c r="T226">
        <v>12</v>
      </c>
      <c r="U226" t="s">
        <v>48</v>
      </c>
      <c r="V226" t="str">
        <f t="shared" si="3"/>
        <v>Oct-2024</v>
      </c>
      <c r="W226" s="16">
        <f>Table1[[#This Row],[Consultation Date]] - Table1[[#This Row],[Appointment Date]]</f>
        <v>0.95833333333575865</v>
      </c>
    </row>
    <row r="227" spans="1:23" x14ac:dyDescent="0.3">
      <c r="A227" t="s">
        <v>284</v>
      </c>
      <c r="B227">
        <v>73</v>
      </c>
      <c r="C227" t="s">
        <v>22</v>
      </c>
      <c r="D227" s="2">
        <v>45219</v>
      </c>
      <c r="E227" s="2">
        <v>45228</v>
      </c>
      <c r="F227">
        <v>9</v>
      </c>
      <c r="G227" t="s">
        <v>50</v>
      </c>
      <c r="H227">
        <v>5</v>
      </c>
      <c r="I227" t="s">
        <v>71</v>
      </c>
      <c r="J227">
        <v>21218</v>
      </c>
      <c r="K227" t="s">
        <v>67</v>
      </c>
      <c r="L227" t="s">
        <v>54</v>
      </c>
      <c r="M227" t="s">
        <v>27</v>
      </c>
      <c r="N227" s="2">
        <v>45219</v>
      </c>
      <c r="O227" s="2">
        <v>45219.458333333336</v>
      </c>
      <c r="P227" t="s">
        <v>37</v>
      </c>
      <c r="Q227" t="s">
        <v>29</v>
      </c>
      <c r="R227" t="s">
        <v>43</v>
      </c>
      <c r="S227">
        <v>10</v>
      </c>
      <c r="T227">
        <v>10</v>
      </c>
      <c r="U227" t="s">
        <v>48</v>
      </c>
      <c r="V227" t="str">
        <f t="shared" si="3"/>
        <v>Oct-2023</v>
      </c>
      <c r="W227" s="16">
        <f>Table1[[#This Row],[Consultation Date]] - Table1[[#This Row],[Appointment Date]]</f>
        <v>0.45833333333575865</v>
      </c>
    </row>
    <row r="228" spans="1:23" x14ac:dyDescent="0.3">
      <c r="A228" t="s">
        <v>285</v>
      </c>
      <c r="B228">
        <v>59</v>
      </c>
      <c r="C228" t="s">
        <v>33</v>
      </c>
      <c r="D228" s="2">
        <v>45538</v>
      </c>
      <c r="E228" s="2">
        <v>45568</v>
      </c>
      <c r="F228">
        <v>1</v>
      </c>
      <c r="G228" t="s">
        <v>50</v>
      </c>
      <c r="H228">
        <v>2</v>
      </c>
      <c r="I228" t="s">
        <v>71</v>
      </c>
      <c r="J228">
        <v>48220</v>
      </c>
      <c r="K228" t="s">
        <v>25</v>
      </c>
      <c r="L228" t="s">
        <v>54</v>
      </c>
      <c r="M228" t="s">
        <v>27</v>
      </c>
      <c r="N228" s="2">
        <v>45446</v>
      </c>
      <c r="O228" s="2">
        <v>45476.75</v>
      </c>
      <c r="P228" t="s">
        <v>37</v>
      </c>
      <c r="Q228" t="s">
        <v>29</v>
      </c>
      <c r="R228" t="s">
        <v>30</v>
      </c>
      <c r="S228">
        <v>7</v>
      </c>
      <c r="T228">
        <v>10</v>
      </c>
      <c r="U228" t="s">
        <v>48</v>
      </c>
      <c r="V228" t="str">
        <f t="shared" si="3"/>
        <v>Sep-2024</v>
      </c>
      <c r="W228" s="16">
        <f>Table1[[#This Row],[Consultation Date]] - Table1[[#This Row],[Appointment Date]]</f>
        <v>30.75</v>
      </c>
    </row>
    <row r="229" spans="1:23" x14ac:dyDescent="0.3">
      <c r="A229" t="s">
        <v>286</v>
      </c>
      <c r="B229">
        <v>70</v>
      </c>
      <c r="C229" t="s">
        <v>52</v>
      </c>
      <c r="D229" s="2">
        <v>45425</v>
      </c>
      <c r="E229" s="2">
        <v>45435</v>
      </c>
      <c r="F229">
        <v>10</v>
      </c>
      <c r="G229" t="s">
        <v>50</v>
      </c>
      <c r="H229">
        <v>2</v>
      </c>
      <c r="I229" t="s">
        <v>24</v>
      </c>
      <c r="J229">
        <v>13627</v>
      </c>
      <c r="K229" t="s">
        <v>60</v>
      </c>
      <c r="L229" t="s">
        <v>54</v>
      </c>
      <c r="M229" t="s">
        <v>41</v>
      </c>
      <c r="N229" s="2">
        <v>45540</v>
      </c>
      <c r="O229" s="2">
        <v>45570.666666666664</v>
      </c>
      <c r="P229" t="s">
        <v>28</v>
      </c>
      <c r="Q229" t="s">
        <v>29</v>
      </c>
      <c r="R229" t="s">
        <v>30</v>
      </c>
      <c r="S229">
        <v>6</v>
      </c>
      <c r="T229">
        <v>12</v>
      </c>
      <c r="U229" t="s">
        <v>48</v>
      </c>
      <c r="V229" t="str">
        <f t="shared" si="3"/>
        <v>May-2024</v>
      </c>
      <c r="W229" s="16">
        <f>Table1[[#This Row],[Consultation Date]] - Table1[[#This Row],[Appointment Date]]</f>
        <v>30.666666666664241</v>
      </c>
    </row>
    <row r="230" spans="1:23" x14ac:dyDescent="0.3">
      <c r="A230" t="s">
        <v>287</v>
      </c>
      <c r="B230">
        <v>80</v>
      </c>
      <c r="C230" t="s">
        <v>22</v>
      </c>
      <c r="D230" s="2">
        <v>45144</v>
      </c>
      <c r="E230" s="2">
        <v>45094</v>
      </c>
      <c r="F230">
        <v>9</v>
      </c>
      <c r="G230" t="s">
        <v>34</v>
      </c>
      <c r="H230">
        <v>4</v>
      </c>
      <c r="I230" t="s">
        <v>35</v>
      </c>
      <c r="J230">
        <v>9947</v>
      </c>
      <c r="K230" t="s">
        <v>25</v>
      </c>
      <c r="L230" t="s">
        <v>54</v>
      </c>
      <c r="M230" t="s">
        <v>41</v>
      </c>
      <c r="N230" s="2">
        <v>45052</v>
      </c>
      <c r="O230" s="2">
        <v>45052.125</v>
      </c>
      <c r="P230" t="s">
        <v>55</v>
      </c>
      <c r="Q230" t="s">
        <v>29</v>
      </c>
      <c r="R230" t="s">
        <v>47</v>
      </c>
      <c r="S230">
        <v>8</v>
      </c>
      <c r="T230">
        <v>10</v>
      </c>
      <c r="U230" t="s">
        <v>31</v>
      </c>
      <c r="V230" t="str">
        <f t="shared" si="3"/>
        <v>Aug-2023</v>
      </c>
      <c r="W230" s="16">
        <f>Table1[[#This Row],[Consultation Date]] - Table1[[#This Row],[Appointment Date]]</f>
        <v>0.125</v>
      </c>
    </row>
    <row r="231" spans="1:23" x14ac:dyDescent="0.3">
      <c r="A231" t="s">
        <v>288</v>
      </c>
      <c r="B231">
        <v>3</v>
      </c>
      <c r="C231" t="s">
        <v>33</v>
      </c>
      <c r="D231" s="2">
        <v>45121</v>
      </c>
      <c r="E231" s="2">
        <v>45130</v>
      </c>
      <c r="F231">
        <v>9</v>
      </c>
      <c r="G231" t="s">
        <v>57</v>
      </c>
      <c r="H231">
        <v>2</v>
      </c>
      <c r="I231" t="s">
        <v>46</v>
      </c>
      <c r="J231">
        <v>44419</v>
      </c>
      <c r="K231" t="s">
        <v>53</v>
      </c>
      <c r="L231" t="s">
        <v>26</v>
      </c>
      <c r="M231" t="s">
        <v>27</v>
      </c>
      <c r="N231" s="2">
        <v>45120</v>
      </c>
      <c r="O231" s="2">
        <v>45121.541666666664</v>
      </c>
      <c r="P231" t="s">
        <v>42</v>
      </c>
      <c r="Q231" t="s">
        <v>38</v>
      </c>
      <c r="R231" t="s">
        <v>47</v>
      </c>
      <c r="S231">
        <v>10</v>
      </c>
      <c r="T231">
        <v>12</v>
      </c>
      <c r="U231" t="s">
        <v>48</v>
      </c>
      <c r="V231" t="str">
        <f t="shared" si="3"/>
        <v>Jul-2023</v>
      </c>
      <c r="W231" s="16">
        <f>Table1[[#This Row],[Consultation Date]] - Table1[[#This Row],[Appointment Date]]</f>
        <v>1.5416666666642413</v>
      </c>
    </row>
    <row r="232" spans="1:23" x14ac:dyDescent="0.3">
      <c r="A232" t="s">
        <v>289</v>
      </c>
      <c r="B232">
        <v>20</v>
      </c>
      <c r="C232" t="s">
        <v>22</v>
      </c>
      <c r="D232" s="2">
        <v>45230</v>
      </c>
      <c r="E232" s="2">
        <v>45088</v>
      </c>
      <c r="F232">
        <v>6</v>
      </c>
      <c r="G232" t="s">
        <v>50</v>
      </c>
      <c r="H232">
        <v>3</v>
      </c>
      <c r="I232" t="s">
        <v>35</v>
      </c>
      <c r="J232">
        <v>28178</v>
      </c>
      <c r="K232" t="s">
        <v>25</v>
      </c>
      <c r="L232" t="s">
        <v>54</v>
      </c>
      <c r="M232" t="s">
        <v>27</v>
      </c>
      <c r="N232" s="2">
        <v>45229</v>
      </c>
      <c r="O232" s="2">
        <v>45230.75</v>
      </c>
      <c r="P232" t="s">
        <v>42</v>
      </c>
      <c r="Q232" t="s">
        <v>29</v>
      </c>
      <c r="R232" t="s">
        <v>43</v>
      </c>
      <c r="S232">
        <v>9</v>
      </c>
      <c r="T232">
        <v>12</v>
      </c>
      <c r="U232" t="s">
        <v>48</v>
      </c>
      <c r="V232" t="str">
        <f t="shared" si="3"/>
        <v>Oct-2023</v>
      </c>
      <c r="W232" s="16">
        <f>Table1[[#This Row],[Consultation Date]] - Table1[[#This Row],[Appointment Date]]</f>
        <v>1.75</v>
      </c>
    </row>
    <row r="233" spans="1:23" x14ac:dyDescent="0.3">
      <c r="A233" t="s">
        <v>290</v>
      </c>
      <c r="B233">
        <v>59</v>
      </c>
      <c r="C233" t="s">
        <v>45</v>
      </c>
      <c r="D233" s="2">
        <v>45238</v>
      </c>
      <c r="E233" s="2">
        <v>45160</v>
      </c>
      <c r="F233">
        <v>11</v>
      </c>
      <c r="G233" t="s">
        <v>57</v>
      </c>
      <c r="H233">
        <v>3</v>
      </c>
      <c r="I233" t="s">
        <v>46</v>
      </c>
      <c r="J233">
        <v>33876</v>
      </c>
      <c r="K233" t="s">
        <v>60</v>
      </c>
      <c r="L233" t="s">
        <v>54</v>
      </c>
      <c r="M233" t="s">
        <v>27</v>
      </c>
      <c r="N233" s="2">
        <v>45115</v>
      </c>
      <c r="O233" s="2">
        <v>45146.833333333336</v>
      </c>
      <c r="P233" t="s">
        <v>37</v>
      </c>
      <c r="Q233" t="s">
        <v>29</v>
      </c>
      <c r="R233" t="s">
        <v>47</v>
      </c>
      <c r="S233">
        <v>11</v>
      </c>
      <c r="T233">
        <v>8</v>
      </c>
      <c r="U233" t="s">
        <v>48</v>
      </c>
      <c r="V233" t="str">
        <f t="shared" si="3"/>
        <v>Nov-2023</v>
      </c>
      <c r="W233" s="16">
        <f>Table1[[#This Row],[Consultation Date]] - Table1[[#This Row],[Appointment Date]]</f>
        <v>31.833333333335759</v>
      </c>
    </row>
    <row r="234" spans="1:23" x14ac:dyDescent="0.3">
      <c r="A234" t="s">
        <v>291</v>
      </c>
      <c r="B234">
        <v>36</v>
      </c>
      <c r="C234" t="s">
        <v>45</v>
      </c>
      <c r="D234" s="2">
        <v>44929</v>
      </c>
      <c r="E234" s="2">
        <v>44988</v>
      </c>
      <c r="F234">
        <v>2</v>
      </c>
      <c r="G234" t="s">
        <v>34</v>
      </c>
      <c r="H234">
        <v>5</v>
      </c>
      <c r="I234" t="s">
        <v>35</v>
      </c>
      <c r="J234">
        <v>27908</v>
      </c>
      <c r="K234" t="s">
        <v>67</v>
      </c>
      <c r="L234" t="s">
        <v>54</v>
      </c>
      <c r="M234" t="s">
        <v>27</v>
      </c>
      <c r="N234" s="2">
        <v>44984</v>
      </c>
      <c r="O234" s="2">
        <v>44985.75</v>
      </c>
      <c r="P234" t="s">
        <v>37</v>
      </c>
      <c r="Q234" t="s">
        <v>29</v>
      </c>
      <c r="R234" t="s">
        <v>43</v>
      </c>
      <c r="S234">
        <v>4</v>
      </c>
      <c r="T234">
        <v>12</v>
      </c>
      <c r="U234" t="s">
        <v>48</v>
      </c>
      <c r="V234" t="str">
        <f t="shared" si="3"/>
        <v>Jan-2023</v>
      </c>
      <c r="W234" s="16">
        <f>Table1[[#This Row],[Consultation Date]] - Table1[[#This Row],[Appointment Date]]</f>
        <v>1.75</v>
      </c>
    </row>
    <row r="235" spans="1:23" x14ac:dyDescent="0.3">
      <c r="A235" t="s">
        <v>292</v>
      </c>
      <c r="B235">
        <v>19</v>
      </c>
      <c r="C235" t="s">
        <v>45</v>
      </c>
      <c r="D235" s="2">
        <v>45019</v>
      </c>
      <c r="E235" s="2">
        <v>45233</v>
      </c>
      <c r="F235">
        <v>7</v>
      </c>
      <c r="G235" t="s">
        <v>23</v>
      </c>
      <c r="H235">
        <v>5</v>
      </c>
      <c r="I235" t="s">
        <v>71</v>
      </c>
      <c r="J235">
        <v>40912</v>
      </c>
      <c r="K235" t="s">
        <v>36</v>
      </c>
      <c r="L235" t="s">
        <v>54</v>
      </c>
      <c r="M235" t="s">
        <v>27</v>
      </c>
      <c r="N235" s="2">
        <v>45019</v>
      </c>
      <c r="O235" s="2">
        <v>45049.083333333336</v>
      </c>
      <c r="P235" t="s">
        <v>55</v>
      </c>
      <c r="Q235" t="s">
        <v>29</v>
      </c>
      <c r="R235" t="s">
        <v>30</v>
      </c>
      <c r="S235">
        <v>8</v>
      </c>
      <c r="T235">
        <v>8</v>
      </c>
      <c r="U235" t="s">
        <v>68</v>
      </c>
      <c r="V235" t="str">
        <f t="shared" si="3"/>
        <v>Apr-2023</v>
      </c>
      <c r="W235" s="16">
        <f>Table1[[#This Row],[Consultation Date]] - Table1[[#This Row],[Appointment Date]]</f>
        <v>30.083333333335759</v>
      </c>
    </row>
    <row r="236" spans="1:23" x14ac:dyDescent="0.3">
      <c r="A236" t="s">
        <v>293</v>
      </c>
      <c r="B236">
        <v>67</v>
      </c>
      <c r="C236" t="s">
        <v>41</v>
      </c>
      <c r="D236" s="2">
        <v>45248</v>
      </c>
      <c r="E236" s="2">
        <v>45254</v>
      </c>
      <c r="F236">
        <v>6</v>
      </c>
      <c r="G236" t="s">
        <v>57</v>
      </c>
      <c r="H236">
        <v>2</v>
      </c>
      <c r="I236" t="s">
        <v>66</v>
      </c>
      <c r="J236">
        <v>24971</v>
      </c>
      <c r="K236" t="s">
        <v>25</v>
      </c>
      <c r="L236" t="s">
        <v>54</v>
      </c>
      <c r="M236" t="s">
        <v>27</v>
      </c>
      <c r="N236" s="2">
        <v>45248</v>
      </c>
      <c r="O236" s="2">
        <v>45248.916666666664</v>
      </c>
      <c r="P236" t="s">
        <v>37</v>
      </c>
      <c r="Q236" t="s">
        <v>29</v>
      </c>
      <c r="R236" t="s">
        <v>30</v>
      </c>
      <c r="S236">
        <v>10</v>
      </c>
      <c r="T236">
        <v>12</v>
      </c>
      <c r="U236" t="s">
        <v>48</v>
      </c>
      <c r="V236" t="str">
        <f t="shared" si="3"/>
        <v>Nov-2023</v>
      </c>
      <c r="W236" s="16">
        <f>Table1[[#This Row],[Consultation Date]] - Table1[[#This Row],[Appointment Date]]</f>
        <v>0.91666666666424135</v>
      </c>
    </row>
    <row r="237" spans="1:23" x14ac:dyDescent="0.3">
      <c r="A237" t="s">
        <v>294</v>
      </c>
      <c r="B237">
        <v>19</v>
      </c>
      <c r="C237" t="s">
        <v>41</v>
      </c>
      <c r="D237" s="2">
        <v>44985</v>
      </c>
      <c r="E237" s="2">
        <v>44999</v>
      </c>
      <c r="F237">
        <v>14</v>
      </c>
      <c r="G237" t="s">
        <v>23</v>
      </c>
      <c r="H237">
        <v>1</v>
      </c>
      <c r="I237" t="s">
        <v>66</v>
      </c>
      <c r="J237">
        <v>37584</v>
      </c>
      <c r="K237" t="s">
        <v>60</v>
      </c>
      <c r="L237" t="s">
        <v>54</v>
      </c>
      <c r="M237" t="s">
        <v>27</v>
      </c>
      <c r="N237" s="2">
        <v>44983</v>
      </c>
      <c r="O237" s="2">
        <v>44984.166666666664</v>
      </c>
      <c r="P237" t="s">
        <v>64</v>
      </c>
      <c r="Q237" t="s">
        <v>38</v>
      </c>
      <c r="R237" t="s">
        <v>30</v>
      </c>
      <c r="S237">
        <v>9</v>
      </c>
      <c r="T237">
        <v>10</v>
      </c>
      <c r="U237" t="s">
        <v>48</v>
      </c>
      <c r="V237" t="str">
        <f t="shared" si="3"/>
        <v>Feb-2023</v>
      </c>
      <c r="W237" s="16">
        <f>Table1[[#This Row],[Consultation Date]] - Table1[[#This Row],[Appointment Date]]</f>
        <v>1.1666666666642413</v>
      </c>
    </row>
    <row r="238" spans="1:23" x14ac:dyDescent="0.3">
      <c r="A238" t="s">
        <v>295</v>
      </c>
      <c r="B238">
        <v>20</v>
      </c>
      <c r="C238" t="s">
        <v>52</v>
      </c>
      <c r="D238" s="2">
        <v>44978</v>
      </c>
      <c r="E238" s="2">
        <v>45019</v>
      </c>
      <c r="F238">
        <v>11</v>
      </c>
      <c r="G238" t="s">
        <v>34</v>
      </c>
      <c r="H238">
        <v>4</v>
      </c>
      <c r="I238" t="s">
        <v>24</v>
      </c>
      <c r="J238">
        <v>13959</v>
      </c>
      <c r="K238" t="s">
        <v>60</v>
      </c>
      <c r="L238" t="s">
        <v>54</v>
      </c>
      <c r="M238" t="s">
        <v>27</v>
      </c>
      <c r="N238" s="2">
        <v>44975</v>
      </c>
      <c r="O238" s="2">
        <v>44975.291666666664</v>
      </c>
      <c r="P238" t="s">
        <v>64</v>
      </c>
      <c r="Q238" t="s">
        <v>38</v>
      </c>
      <c r="R238" t="s">
        <v>30</v>
      </c>
      <c r="S238">
        <v>7</v>
      </c>
      <c r="T238">
        <v>12</v>
      </c>
      <c r="U238" t="s">
        <v>31</v>
      </c>
      <c r="V238" t="str">
        <f t="shared" si="3"/>
        <v>Feb-2023</v>
      </c>
      <c r="W238" s="16">
        <f>Table1[[#This Row],[Consultation Date]] - Table1[[#This Row],[Appointment Date]]</f>
        <v>0.29166666666424135</v>
      </c>
    </row>
    <row r="239" spans="1:23" x14ac:dyDescent="0.3">
      <c r="A239" t="s">
        <v>296</v>
      </c>
      <c r="B239">
        <v>71</v>
      </c>
      <c r="C239" t="s">
        <v>45</v>
      </c>
      <c r="D239" s="2">
        <v>45356</v>
      </c>
      <c r="E239" s="2">
        <v>45428</v>
      </c>
      <c r="F239">
        <v>13</v>
      </c>
      <c r="G239" t="s">
        <v>34</v>
      </c>
      <c r="H239">
        <v>1</v>
      </c>
      <c r="I239" t="s">
        <v>46</v>
      </c>
      <c r="J239">
        <v>33261</v>
      </c>
      <c r="K239" t="s">
        <v>67</v>
      </c>
      <c r="L239" t="s">
        <v>26</v>
      </c>
      <c r="M239" t="s">
        <v>41</v>
      </c>
      <c r="N239" s="2">
        <v>45411</v>
      </c>
      <c r="O239" s="2">
        <v>45411.041666666664</v>
      </c>
      <c r="P239" t="s">
        <v>64</v>
      </c>
      <c r="Q239" t="s">
        <v>29</v>
      </c>
      <c r="R239" t="s">
        <v>30</v>
      </c>
      <c r="S239">
        <v>8</v>
      </c>
      <c r="T239">
        <v>10</v>
      </c>
      <c r="U239" t="s">
        <v>68</v>
      </c>
      <c r="V239" t="str">
        <f t="shared" si="3"/>
        <v>Mar-2024</v>
      </c>
      <c r="W239" s="16">
        <f>Table1[[#This Row],[Consultation Date]] - Table1[[#This Row],[Appointment Date]]</f>
        <v>4.1666666664241347E-2</v>
      </c>
    </row>
    <row r="240" spans="1:23" x14ac:dyDescent="0.3">
      <c r="A240" t="s">
        <v>297</v>
      </c>
      <c r="B240">
        <v>52</v>
      </c>
      <c r="C240" t="s">
        <v>33</v>
      </c>
      <c r="D240" s="2">
        <v>45441</v>
      </c>
      <c r="E240" s="2">
        <v>45418</v>
      </c>
      <c r="F240">
        <v>7</v>
      </c>
      <c r="G240" t="s">
        <v>63</v>
      </c>
      <c r="H240">
        <v>2</v>
      </c>
      <c r="I240" t="s">
        <v>46</v>
      </c>
      <c r="J240">
        <v>46065</v>
      </c>
      <c r="K240" t="s">
        <v>53</v>
      </c>
      <c r="L240" t="s">
        <v>54</v>
      </c>
      <c r="M240" t="s">
        <v>27</v>
      </c>
      <c r="N240" s="2">
        <v>45436</v>
      </c>
      <c r="O240" s="2">
        <v>45436.291666666664</v>
      </c>
      <c r="P240" t="s">
        <v>64</v>
      </c>
      <c r="Q240" t="s">
        <v>38</v>
      </c>
      <c r="R240" t="s">
        <v>43</v>
      </c>
      <c r="S240">
        <v>11</v>
      </c>
      <c r="T240">
        <v>8</v>
      </c>
      <c r="U240" t="s">
        <v>31</v>
      </c>
      <c r="V240" t="str">
        <f t="shared" si="3"/>
        <v>May-2024</v>
      </c>
      <c r="W240" s="16">
        <f>Table1[[#This Row],[Consultation Date]] - Table1[[#This Row],[Appointment Date]]</f>
        <v>0.29166666666424135</v>
      </c>
    </row>
    <row r="241" spans="1:23" x14ac:dyDescent="0.3">
      <c r="A241" t="s">
        <v>298</v>
      </c>
      <c r="B241">
        <v>33</v>
      </c>
      <c r="C241" t="s">
        <v>22</v>
      </c>
      <c r="D241" s="2">
        <v>45236</v>
      </c>
      <c r="E241" s="2">
        <v>45102</v>
      </c>
      <c r="F241">
        <v>14</v>
      </c>
      <c r="G241" t="s">
        <v>34</v>
      </c>
      <c r="H241">
        <v>2</v>
      </c>
      <c r="I241" t="s">
        <v>46</v>
      </c>
      <c r="J241">
        <v>44462</v>
      </c>
      <c r="K241" t="s">
        <v>25</v>
      </c>
      <c r="L241" t="s">
        <v>54</v>
      </c>
      <c r="M241" t="s">
        <v>41</v>
      </c>
      <c r="N241" s="2">
        <v>45083</v>
      </c>
      <c r="O241" s="2">
        <v>45083.708333333336</v>
      </c>
      <c r="P241" t="s">
        <v>55</v>
      </c>
      <c r="Q241" t="s">
        <v>29</v>
      </c>
      <c r="R241" t="s">
        <v>30</v>
      </c>
      <c r="S241">
        <v>6</v>
      </c>
      <c r="T241">
        <v>10</v>
      </c>
      <c r="U241" t="s">
        <v>48</v>
      </c>
      <c r="V241" t="str">
        <f t="shared" si="3"/>
        <v>Nov-2023</v>
      </c>
      <c r="W241" s="16">
        <f>Table1[[#This Row],[Consultation Date]] - Table1[[#This Row],[Appointment Date]]</f>
        <v>0.70833333333575865</v>
      </c>
    </row>
    <row r="242" spans="1:23" x14ac:dyDescent="0.3">
      <c r="A242" t="s">
        <v>299</v>
      </c>
      <c r="B242">
        <v>40</v>
      </c>
      <c r="C242" t="s">
        <v>62</v>
      </c>
      <c r="D242" s="2">
        <v>44985</v>
      </c>
      <c r="E242" s="2">
        <v>45000</v>
      </c>
      <c r="F242">
        <v>15</v>
      </c>
      <c r="G242" t="s">
        <v>34</v>
      </c>
      <c r="H242">
        <v>1</v>
      </c>
      <c r="I242" t="s">
        <v>71</v>
      </c>
      <c r="J242">
        <v>20835</v>
      </c>
      <c r="K242" t="s">
        <v>60</v>
      </c>
      <c r="L242" t="s">
        <v>26</v>
      </c>
      <c r="M242" t="s">
        <v>41</v>
      </c>
      <c r="N242" s="2">
        <v>44982</v>
      </c>
      <c r="O242" s="2">
        <v>44982.625</v>
      </c>
      <c r="P242" t="s">
        <v>42</v>
      </c>
      <c r="Q242" t="s">
        <v>29</v>
      </c>
      <c r="R242" t="s">
        <v>43</v>
      </c>
      <c r="S242">
        <v>5</v>
      </c>
      <c r="T242">
        <v>12</v>
      </c>
      <c r="U242" t="s">
        <v>31</v>
      </c>
      <c r="V242" t="str">
        <f t="shared" si="3"/>
        <v>Feb-2023</v>
      </c>
      <c r="W242" s="16">
        <f>Table1[[#This Row],[Consultation Date]] - Table1[[#This Row],[Appointment Date]]</f>
        <v>0.625</v>
      </c>
    </row>
    <row r="243" spans="1:23" x14ac:dyDescent="0.3">
      <c r="A243" t="s">
        <v>300</v>
      </c>
      <c r="B243">
        <v>39</v>
      </c>
      <c r="C243" t="s">
        <v>33</v>
      </c>
      <c r="D243" s="2">
        <v>45388</v>
      </c>
      <c r="E243" s="2">
        <v>45459</v>
      </c>
      <c r="F243">
        <v>12</v>
      </c>
      <c r="G243" t="s">
        <v>40</v>
      </c>
      <c r="H243">
        <v>4</v>
      </c>
      <c r="I243" t="s">
        <v>46</v>
      </c>
      <c r="J243">
        <v>24257</v>
      </c>
      <c r="K243" t="s">
        <v>67</v>
      </c>
      <c r="L243" t="s">
        <v>54</v>
      </c>
      <c r="M243" t="s">
        <v>27</v>
      </c>
      <c r="N243" s="2">
        <v>45328</v>
      </c>
      <c r="O243" s="2">
        <v>45357.375</v>
      </c>
      <c r="P243" t="s">
        <v>64</v>
      </c>
      <c r="Q243" t="s">
        <v>29</v>
      </c>
      <c r="R243" t="s">
        <v>30</v>
      </c>
      <c r="S243">
        <v>6</v>
      </c>
      <c r="T243">
        <v>10</v>
      </c>
      <c r="U243" t="s">
        <v>31</v>
      </c>
      <c r="V243" t="str">
        <f t="shared" si="3"/>
        <v>Apr-2024</v>
      </c>
      <c r="W243" s="16">
        <f>Table1[[#This Row],[Consultation Date]] - Table1[[#This Row],[Appointment Date]]</f>
        <v>29.375</v>
      </c>
    </row>
    <row r="244" spans="1:23" x14ac:dyDescent="0.3">
      <c r="A244" t="s">
        <v>301</v>
      </c>
      <c r="B244">
        <v>82</v>
      </c>
      <c r="C244" t="s">
        <v>41</v>
      </c>
      <c r="D244" s="2">
        <v>45009</v>
      </c>
      <c r="E244" s="2">
        <v>45010</v>
      </c>
      <c r="F244">
        <v>1</v>
      </c>
      <c r="G244" t="s">
        <v>50</v>
      </c>
      <c r="H244">
        <v>1</v>
      </c>
      <c r="I244" t="s">
        <v>66</v>
      </c>
      <c r="J244">
        <v>8346</v>
      </c>
      <c r="K244" t="s">
        <v>36</v>
      </c>
      <c r="L244" t="s">
        <v>26</v>
      </c>
      <c r="M244" t="s">
        <v>41</v>
      </c>
      <c r="N244" s="2">
        <v>45005</v>
      </c>
      <c r="O244" s="2">
        <v>45007</v>
      </c>
      <c r="P244" t="s">
        <v>37</v>
      </c>
      <c r="Q244" t="s">
        <v>29</v>
      </c>
      <c r="R244" t="s">
        <v>43</v>
      </c>
      <c r="S244">
        <v>7</v>
      </c>
      <c r="T244">
        <v>8</v>
      </c>
      <c r="U244" t="s">
        <v>48</v>
      </c>
      <c r="V244" t="str">
        <f t="shared" si="3"/>
        <v>Mar-2023</v>
      </c>
      <c r="W244" s="16">
        <f>Table1[[#This Row],[Consultation Date]] - Table1[[#This Row],[Appointment Date]]</f>
        <v>2</v>
      </c>
    </row>
    <row r="245" spans="1:23" x14ac:dyDescent="0.3">
      <c r="A245" t="s">
        <v>302</v>
      </c>
      <c r="B245">
        <v>1</v>
      </c>
      <c r="C245" t="s">
        <v>41</v>
      </c>
      <c r="D245" s="2">
        <v>45206</v>
      </c>
      <c r="E245" s="2">
        <v>45122</v>
      </c>
      <c r="F245">
        <v>5</v>
      </c>
      <c r="G245" t="s">
        <v>63</v>
      </c>
      <c r="H245">
        <v>5</v>
      </c>
      <c r="I245" t="s">
        <v>71</v>
      </c>
      <c r="J245">
        <v>35807</v>
      </c>
      <c r="K245" t="s">
        <v>60</v>
      </c>
      <c r="L245" t="s">
        <v>54</v>
      </c>
      <c r="M245" t="s">
        <v>41</v>
      </c>
      <c r="N245" s="2">
        <v>45206</v>
      </c>
      <c r="O245" s="2">
        <v>45237.416666666664</v>
      </c>
      <c r="P245" t="s">
        <v>64</v>
      </c>
      <c r="Q245" t="s">
        <v>29</v>
      </c>
      <c r="R245" t="s">
        <v>43</v>
      </c>
      <c r="S245">
        <v>10</v>
      </c>
      <c r="T245">
        <v>10</v>
      </c>
      <c r="U245" t="s">
        <v>68</v>
      </c>
      <c r="V245" t="str">
        <f t="shared" si="3"/>
        <v>Oct-2023</v>
      </c>
      <c r="W245" s="16">
        <f>Table1[[#This Row],[Consultation Date]] - Table1[[#This Row],[Appointment Date]]</f>
        <v>31.416666666664241</v>
      </c>
    </row>
    <row r="246" spans="1:23" x14ac:dyDescent="0.3">
      <c r="A246" t="s">
        <v>303</v>
      </c>
      <c r="B246">
        <v>11</v>
      </c>
      <c r="C246" t="s">
        <v>33</v>
      </c>
      <c r="D246" s="2">
        <v>45263</v>
      </c>
      <c r="E246" s="2">
        <v>45007</v>
      </c>
      <c r="F246">
        <v>10</v>
      </c>
      <c r="G246" t="s">
        <v>63</v>
      </c>
      <c r="H246">
        <v>3</v>
      </c>
      <c r="I246" t="s">
        <v>35</v>
      </c>
      <c r="J246">
        <v>35418</v>
      </c>
      <c r="K246" t="s">
        <v>67</v>
      </c>
      <c r="L246" t="s">
        <v>26</v>
      </c>
      <c r="M246" t="s">
        <v>41</v>
      </c>
      <c r="N246" s="2">
        <v>45263</v>
      </c>
      <c r="O246" s="2">
        <v>44998.5</v>
      </c>
      <c r="P246" t="s">
        <v>55</v>
      </c>
      <c r="Q246" t="s">
        <v>29</v>
      </c>
      <c r="R246" t="s">
        <v>43</v>
      </c>
      <c r="S246">
        <v>11</v>
      </c>
      <c r="T246">
        <v>10</v>
      </c>
      <c r="U246" t="s">
        <v>68</v>
      </c>
      <c r="V246" t="str">
        <f t="shared" si="3"/>
        <v>Dec-2023</v>
      </c>
      <c r="W246" s="16">
        <f>Table1[[#This Row],[Consultation Date]] - Table1[[#This Row],[Appointment Date]]</f>
        <v>-264.5</v>
      </c>
    </row>
    <row r="247" spans="1:23" x14ac:dyDescent="0.3">
      <c r="A247" t="s">
        <v>304</v>
      </c>
      <c r="B247">
        <v>57</v>
      </c>
      <c r="C247" t="s">
        <v>41</v>
      </c>
      <c r="D247" s="2">
        <v>45233</v>
      </c>
      <c r="E247" s="2">
        <v>45001</v>
      </c>
      <c r="F247">
        <v>5</v>
      </c>
      <c r="G247" t="s">
        <v>63</v>
      </c>
      <c r="H247">
        <v>5</v>
      </c>
      <c r="I247" t="s">
        <v>46</v>
      </c>
      <c r="J247">
        <v>16340</v>
      </c>
      <c r="K247" t="s">
        <v>53</v>
      </c>
      <c r="L247" t="s">
        <v>54</v>
      </c>
      <c r="M247" t="s">
        <v>27</v>
      </c>
      <c r="N247" s="2">
        <v>45141</v>
      </c>
      <c r="O247" s="2">
        <v>45172.583333333336</v>
      </c>
      <c r="P247" t="s">
        <v>37</v>
      </c>
      <c r="Q247" t="s">
        <v>29</v>
      </c>
      <c r="R247" t="s">
        <v>47</v>
      </c>
      <c r="S247">
        <v>4</v>
      </c>
      <c r="T247">
        <v>12</v>
      </c>
      <c r="U247" t="s">
        <v>31</v>
      </c>
      <c r="V247" t="str">
        <f t="shared" si="3"/>
        <v>Nov-2023</v>
      </c>
      <c r="W247" s="16">
        <f>Table1[[#This Row],[Consultation Date]] - Table1[[#This Row],[Appointment Date]]</f>
        <v>31.583333333335759</v>
      </c>
    </row>
    <row r="248" spans="1:23" x14ac:dyDescent="0.3">
      <c r="A248" t="s">
        <v>305</v>
      </c>
      <c r="B248">
        <v>89</v>
      </c>
      <c r="C248" t="s">
        <v>45</v>
      </c>
      <c r="D248" s="2">
        <v>45167</v>
      </c>
      <c r="E248" s="2">
        <v>45025</v>
      </c>
      <c r="F248">
        <v>6</v>
      </c>
      <c r="G248" t="s">
        <v>40</v>
      </c>
      <c r="H248">
        <v>3</v>
      </c>
      <c r="I248" t="s">
        <v>46</v>
      </c>
      <c r="J248">
        <v>38012</v>
      </c>
      <c r="K248" t="s">
        <v>53</v>
      </c>
      <c r="L248" t="s">
        <v>54</v>
      </c>
      <c r="M248" t="s">
        <v>27</v>
      </c>
      <c r="N248" s="2">
        <v>45166</v>
      </c>
      <c r="O248" s="2">
        <v>45167.875</v>
      </c>
      <c r="P248" t="s">
        <v>64</v>
      </c>
      <c r="Q248" t="s">
        <v>29</v>
      </c>
      <c r="R248" t="s">
        <v>43</v>
      </c>
      <c r="S248">
        <v>8</v>
      </c>
      <c r="T248">
        <v>12</v>
      </c>
      <c r="U248" t="s">
        <v>48</v>
      </c>
      <c r="V248" t="str">
        <f t="shared" si="3"/>
        <v>Aug-2023</v>
      </c>
      <c r="W248" s="16">
        <f>Table1[[#This Row],[Consultation Date]] - Table1[[#This Row],[Appointment Date]]</f>
        <v>1.875</v>
      </c>
    </row>
    <row r="249" spans="1:23" x14ac:dyDescent="0.3">
      <c r="A249" t="s">
        <v>306</v>
      </c>
      <c r="B249">
        <v>50</v>
      </c>
      <c r="C249" t="s">
        <v>52</v>
      </c>
      <c r="D249" s="2">
        <v>45340</v>
      </c>
      <c r="E249" s="2">
        <v>45342</v>
      </c>
      <c r="F249">
        <v>2</v>
      </c>
      <c r="G249" t="s">
        <v>23</v>
      </c>
      <c r="H249">
        <v>2</v>
      </c>
      <c r="I249" t="s">
        <v>35</v>
      </c>
      <c r="J249">
        <v>40393</v>
      </c>
      <c r="K249" t="s">
        <v>60</v>
      </c>
      <c r="L249" t="s">
        <v>26</v>
      </c>
      <c r="M249" t="s">
        <v>27</v>
      </c>
      <c r="N249" s="2">
        <v>45338</v>
      </c>
      <c r="O249" s="2">
        <v>45339.541666666664</v>
      </c>
      <c r="P249" t="s">
        <v>42</v>
      </c>
      <c r="Q249" t="s">
        <v>29</v>
      </c>
      <c r="R249" t="s">
        <v>43</v>
      </c>
      <c r="S249">
        <v>10</v>
      </c>
      <c r="T249">
        <v>10</v>
      </c>
      <c r="U249" t="s">
        <v>31</v>
      </c>
      <c r="V249" t="str">
        <f t="shared" si="3"/>
        <v>Feb-2024</v>
      </c>
      <c r="W249" s="16">
        <f>Table1[[#This Row],[Consultation Date]] - Table1[[#This Row],[Appointment Date]]</f>
        <v>1.5416666666642413</v>
      </c>
    </row>
    <row r="250" spans="1:23" x14ac:dyDescent="0.3">
      <c r="A250" t="s">
        <v>307</v>
      </c>
      <c r="B250">
        <v>23</v>
      </c>
      <c r="C250" t="s">
        <v>22</v>
      </c>
      <c r="D250" s="2">
        <v>44990</v>
      </c>
      <c r="E250" s="2">
        <v>45059</v>
      </c>
      <c r="F250">
        <v>10</v>
      </c>
      <c r="G250" t="s">
        <v>34</v>
      </c>
      <c r="H250">
        <v>4</v>
      </c>
      <c r="I250" t="s">
        <v>46</v>
      </c>
      <c r="J250">
        <v>41617</v>
      </c>
      <c r="K250" t="s">
        <v>60</v>
      </c>
      <c r="L250" t="s">
        <v>54</v>
      </c>
      <c r="M250" t="s">
        <v>41</v>
      </c>
      <c r="N250" s="2">
        <v>45044</v>
      </c>
      <c r="O250" s="2">
        <v>45044.625</v>
      </c>
      <c r="P250" t="s">
        <v>37</v>
      </c>
      <c r="Q250" t="s">
        <v>29</v>
      </c>
      <c r="R250" t="s">
        <v>30</v>
      </c>
      <c r="S250">
        <v>4</v>
      </c>
      <c r="T250">
        <v>8</v>
      </c>
      <c r="U250" t="s">
        <v>31</v>
      </c>
      <c r="V250" t="str">
        <f t="shared" si="3"/>
        <v>Mar-2023</v>
      </c>
      <c r="W250" s="16">
        <f>Table1[[#This Row],[Consultation Date]] - Table1[[#This Row],[Appointment Date]]</f>
        <v>0.625</v>
      </c>
    </row>
    <row r="251" spans="1:23" x14ac:dyDescent="0.3">
      <c r="A251" t="s">
        <v>308</v>
      </c>
      <c r="B251">
        <v>31</v>
      </c>
      <c r="C251" t="s">
        <v>52</v>
      </c>
      <c r="D251" s="2">
        <v>45208</v>
      </c>
      <c r="E251" s="2">
        <v>45188</v>
      </c>
      <c r="F251">
        <v>9</v>
      </c>
      <c r="G251" t="s">
        <v>50</v>
      </c>
      <c r="H251">
        <v>1</v>
      </c>
      <c r="I251" t="s">
        <v>35</v>
      </c>
      <c r="J251">
        <v>14597</v>
      </c>
      <c r="K251" t="s">
        <v>25</v>
      </c>
      <c r="L251" t="s">
        <v>54</v>
      </c>
      <c r="M251" t="s">
        <v>27</v>
      </c>
      <c r="N251" s="2">
        <v>45147</v>
      </c>
      <c r="O251" s="2">
        <v>45178.208333333336</v>
      </c>
      <c r="P251" t="s">
        <v>37</v>
      </c>
      <c r="Q251" t="s">
        <v>29</v>
      </c>
      <c r="R251" t="s">
        <v>43</v>
      </c>
      <c r="S251">
        <v>7</v>
      </c>
      <c r="T251">
        <v>10</v>
      </c>
      <c r="U251" t="s">
        <v>31</v>
      </c>
      <c r="V251" t="str">
        <f t="shared" si="3"/>
        <v>Oct-2023</v>
      </c>
      <c r="W251" s="16">
        <f>Table1[[#This Row],[Consultation Date]] - Table1[[#This Row],[Appointment Date]]</f>
        <v>31.208333333335759</v>
      </c>
    </row>
    <row r="252" spans="1:23" x14ac:dyDescent="0.3">
      <c r="A252" t="s">
        <v>309</v>
      </c>
      <c r="B252">
        <v>42</v>
      </c>
      <c r="C252" t="s">
        <v>22</v>
      </c>
      <c r="D252" s="2">
        <v>45201</v>
      </c>
      <c r="E252" s="2">
        <v>44971</v>
      </c>
      <c r="F252">
        <v>4</v>
      </c>
      <c r="G252" t="s">
        <v>57</v>
      </c>
      <c r="H252">
        <v>4</v>
      </c>
      <c r="I252" t="s">
        <v>71</v>
      </c>
      <c r="J252">
        <v>30557</v>
      </c>
      <c r="K252" t="s">
        <v>67</v>
      </c>
      <c r="L252" t="s">
        <v>26</v>
      </c>
      <c r="M252" t="s">
        <v>27</v>
      </c>
      <c r="N252" s="2">
        <v>45109</v>
      </c>
      <c r="O252" s="2">
        <v>45140</v>
      </c>
      <c r="P252" t="s">
        <v>42</v>
      </c>
      <c r="Q252" t="s">
        <v>29</v>
      </c>
      <c r="R252" t="s">
        <v>43</v>
      </c>
      <c r="S252">
        <v>8</v>
      </c>
      <c r="T252">
        <v>8</v>
      </c>
      <c r="U252" t="s">
        <v>48</v>
      </c>
      <c r="V252" t="str">
        <f t="shared" si="3"/>
        <v>Oct-2023</v>
      </c>
      <c r="W252" s="16">
        <f>Table1[[#This Row],[Consultation Date]] - Table1[[#This Row],[Appointment Date]]</f>
        <v>31</v>
      </c>
    </row>
    <row r="253" spans="1:23" x14ac:dyDescent="0.3">
      <c r="A253" t="s">
        <v>310</v>
      </c>
      <c r="B253">
        <v>7</v>
      </c>
      <c r="C253" t="s">
        <v>22</v>
      </c>
      <c r="D253" s="2">
        <v>45010</v>
      </c>
      <c r="E253" s="2">
        <v>45013</v>
      </c>
      <c r="F253">
        <v>3</v>
      </c>
      <c r="G253" t="s">
        <v>23</v>
      </c>
      <c r="H253">
        <v>1</v>
      </c>
      <c r="I253" t="s">
        <v>66</v>
      </c>
      <c r="J253">
        <v>12737</v>
      </c>
      <c r="K253" t="s">
        <v>60</v>
      </c>
      <c r="L253" t="s">
        <v>54</v>
      </c>
      <c r="M253" t="s">
        <v>27</v>
      </c>
      <c r="N253" s="2">
        <v>45008</v>
      </c>
      <c r="O253" s="2">
        <v>45009.083333333336</v>
      </c>
      <c r="P253" t="s">
        <v>37</v>
      </c>
      <c r="Q253" t="s">
        <v>29</v>
      </c>
      <c r="R253" t="s">
        <v>47</v>
      </c>
      <c r="S253">
        <v>9</v>
      </c>
      <c r="T253">
        <v>8</v>
      </c>
      <c r="U253" t="s">
        <v>48</v>
      </c>
      <c r="V253" t="str">
        <f t="shared" si="3"/>
        <v>Mar-2023</v>
      </c>
      <c r="W253" s="16">
        <f>Table1[[#This Row],[Consultation Date]] - Table1[[#This Row],[Appointment Date]]</f>
        <v>1.0833333333357587</v>
      </c>
    </row>
    <row r="254" spans="1:23" x14ac:dyDescent="0.3">
      <c r="A254" t="s">
        <v>311</v>
      </c>
      <c r="B254">
        <v>16</v>
      </c>
      <c r="C254" t="s">
        <v>52</v>
      </c>
      <c r="D254" s="2">
        <v>45415</v>
      </c>
      <c r="E254" s="2">
        <v>45367</v>
      </c>
      <c r="F254">
        <v>11</v>
      </c>
      <c r="G254" t="s">
        <v>34</v>
      </c>
      <c r="H254">
        <v>5</v>
      </c>
      <c r="I254" t="s">
        <v>35</v>
      </c>
      <c r="J254">
        <v>49768</v>
      </c>
      <c r="K254" t="s">
        <v>25</v>
      </c>
      <c r="L254" t="s">
        <v>54</v>
      </c>
      <c r="M254" t="s">
        <v>27</v>
      </c>
      <c r="N254" s="2">
        <v>45415</v>
      </c>
      <c r="O254" s="2">
        <v>45446.25</v>
      </c>
      <c r="P254" t="s">
        <v>64</v>
      </c>
      <c r="Q254" t="s">
        <v>29</v>
      </c>
      <c r="R254" t="s">
        <v>30</v>
      </c>
      <c r="S254">
        <v>9</v>
      </c>
      <c r="T254">
        <v>8</v>
      </c>
      <c r="U254" t="s">
        <v>68</v>
      </c>
      <c r="V254" t="str">
        <f t="shared" si="3"/>
        <v>May-2024</v>
      </c>
      <c r="W254" s="16">
        <f>Table1[[#This Row],[Consultation Date]] - Table1[[#This Row],[Appointment Date]]</f>
        <v>31.25</v>
      </c>
    </row>
    <row r="255" spans="1:23" x14ac:dyDescent="0.3">
      <c r="A255" t="s">
        <v>312</v>
      </c>
      <c r="B255">
        <v>60</v>
      </c>
      <c r="C255" t="s">
        <v>33</v>
      </c>
      <c r="D255" s="2">
        <v>45462</v>
      </c>
      <c r="E255" s="2">
        <v>45470</v>
      </c>
      <c r="F255">
        <v>8</v>
      </c>
      <c r="G255" t="s">
        <v>40</v>
      </c>
      <c r="H255">
        <v>5</v>
      </c>
      <c r="I255" t="s">
        <v>24</v>
      </c>
      <c r="J255">
        <v>46101</v>
      </c>
      <c r="K255" t="s">
        <v>25</v>
      </c>
      <c r="L255" t="s">
        <v>26</v>
      </c>
      <c r="M255" t="s">
        <v>41</v>
      </c>
      <c r="N255" s="2">
        <v>45459</v>
      </c>
      <c r="O255" s="2">
        <v>45460.833333333336</v>
      </c>
      <c r="P255" t="s">
        <v>37</v>
      </c>
      <c r="Q255" t="s">
        <v>29</v>
      </c>
      <c r="R255" t="s">
        <v>47</v>
      </c>
      <c r="S255">
        <v>10</v>
      </c>
      <c r="T255">
        <v>10</v>
      </c>
      <c r="U255" t="s">
        <v>48</v>
      </c>
      <c r="V255" t="str">
        <f t="shared" si="3"/>
        <v>Jun-2024</v>
      </c>
      <c r="W255" s="16">
        <f>Table1[[#This Row],[Consultation Date]] - Table1[[#This Row],[Appointment Date]]</f>
        <v>1.8333333333357587</v>
      </c>
    </row>
    <row r="256" spans="1:23" x14ac:dyDescent="0.3">
      <c r="A256" t="s">
        <v>313</v>
      </c>
      <c r="B256">
        <v>2</v>
      </c>
      <c r="C256" t="s">
        <v>22</v>
      </c>
      <c r="D256" s="2">
        <v>45250</v>
      </c>
      <c r="E256" s="2">
        <v>45254</v>
      </c>
      <c r="F256">
        <v>4</v>
      </c>
      <c r="G256" t="s">
        <v>34</v>
      </c>
      <c r="H256">
        <v>1</v>
      </c>
      <c r="I256" t="s">
        <v>35</v>
      </c>
      <c r="J256">
        <v>22276</v>
      </c>
      <c r="K256" t="s">
        <v>60</v>
      </c>
      <c r="L256" t="s">
        <v>54</v>
      </c>
      <c r="M256" t="s">
        <v>27</v>
      </c>
      <c r="N256" s="2">
        <v>45250</v>
      </c>
      <c r="O256" s="2">
        <v>45251.583333333336</v>
      </c>
      <c r="P256" t="s">
        <v>64</v>
      </c>
      <c r="Q256" t="s">
        <v>29</v>
      </c>
      <c r="R256" t="s">
        <v>47</v>
      </c>
      <c r="S256">
        <v>6</v>
      </c>
      <c r="T256">
        <v>8</v>
      </c>
      <c r="U256" t="s">
        <v>31</v>
      </c>
      <c r="V256" t="str">
        <f t="shared" si="3"/>
        <v>Nov-2023</v>
      </c>
      <c r="W256" s="16">
        <f>Table1[[#This Row],[Consultation Date]] - Table1[[#This Row],[Appointment Date]]</f>
        <v>1.5833333333357587</v>
      </c>
    </row>
    <row r="257" spans="1:23" x14ac:dyDescent="0.3">
      <c r="A257" t="s">
        <v>314</v>
      </c>
      <c r="B257">
        <v>1</v>
      </c>
      <c r="C257" t="s">
        <v>52</v>
      </c>
      <c r="D257" s="2">
        <v>45194</v>
      </c>
      <c r="E257" s="2">
        <v>45179</v>
      </c>
      <c r="F257">
        <v>14</v>
      </c>
      <c r="G257" t="s">
        <v>34</v>
      </c>
      <c r="H257">
        <v>4</v>
      </c>
      <c r="I257" t="s">
        <v>46</v>
      </c>
      <c r="J257">
        <v>12310</v>
      </c>
      <c r="K257" t="s">
        <v>53</v>
      </c>
      <c r="L257" t="s">
        <v>26</v>
      </c>
      <c r="M257" t="s">
        <v>27</v>
      </c>
      <c r="N257" s="2">
        <v>45190</v>
      </c>
      <c r="O257" s="2">
        <v>45191.875</v>
      </c>
      <c r="P257" t="s">
        <v>42</v>
      </c>
      <c r="Q257" t="s">
        <v>29</v>
      </c>
      <c r="R257" t="s">
        <v>47</v>
      </c>
      <c r="S257">
        <v>10</v>
      </c>
      <c r="T257">
        <v>10</v>
      </c>
      <c r="U257" t="s">
        <v>31</v>
      </c>
      <c r="V257" t="str">
        <f t="shared" si="3"/>
        <v>Sep-2023</v>
      </c>
      <c r="W257" s="16">
        <f>Table1[[#This Row],[Consultation Date]] - Table1[[#This Row],[Appointment Date]]</f>
        <v>1.875</v>
      </c>
    </row>
    <row r="258" spans="1:23" x14ac:dyDescent="0.3">
      <c r="A258" t="s">
        <v>315</v>
      </c>
      <c r="B258">
        <v>48</v>
      </c>
      <c r="C258" t="s">
        <v>22</v>
      </c>
      <c r="D258" s="2">
        <v>45136</v>
      </c>
      <c r="E258" s="2">
        <v>45138</v>
      </c>
      <c r="F258">
        <v>2</v>
      </c>
      <c r="G258" t="s">
        <v>40</v>
      </c>
      <c r="H258">
        <v>1</v>
      </c>
      <c r="I258" t="s">
        <v>71</v>
      </c>
      <c r="J258">
        <v>40167</v>
      </c>
      <c r="K258" t="s">
        <v>67</v>
      </c>
      <c r="L258" t="s">
        <v>26</v>
      </c>
      <c r="M258" t="s">
        <v>27</v>
      </c>
      <c r="N258" s="2">
        <v>45132</v>
      </c>
      <c r="O258" s="2">
        <v>45133.375</v>
      </c>
      <c r="P258" t="s">
        <v>28</v>
      </c>
      <c r="Q258" t="s">
        <v>38</v>
      </c>
      <c r="R258" t="s">
        <v>43</v>
      </c>
      <c r="S258">
        <v>6</v>
      </c>
      <c r="T258">
        <v>8</v>
      </c>
      <c r="U258" t="s">
        <v>68</v>
      </c>
      <c r="V258" t="str">
        <f t="shared" ref="V258:V321" si="4">TEXT(D258,"mmm-yyyy")</f>
        <v>Jul-2023</v>
      </c>
      <c r="W258" s="16">
        <f>Table1[[#This Row],[Consultation Date]] - Table1[[#This Row],[Appointment Date]]</f>
        <v>1.375</v>
      </c>
    </row>
    <row r="259" spans="1:23" x14ac:dyDescent="0.3">
      <c r="A259" t="s">
        <v>316</v>
      </c>
      <c r="B259">
        <v>12</v>
      </c>
      <c r="C259" t="s">
        <v>62</v>
      </c>
      <c r="D259" s="2">
        <v>45248</v>
      </c>
      <c r="E259" s="2">
        <v>45254</v>
      </c>
      <c r="F259">
        <v>6</v>
      </c>
      <c r="G259" t="s">
        <v>63</v>
      </c>
      <c r="H259">
        <v>2</v>
      </c>
      <c r="I259" t="s">
        <v>71</v>
      </c>
      <c r="J259">
        <v>42408</v>
      </c>
      <c r="K259" t="s">
        <v>67</v>
      </c>
      <c r="L259" t="s">
        <v>54</v>
      </c>
      <c r="M259" t="s">
        <v>27</v>
      </c>
      <c r="N259" s="2">
        <v>45247</v>
      </c>
      <c r="O259" s="2">
        <v>45247.416666666664</v>
      </c>
      <c r="P259" t="s">
        <v>42</v>
      </c>
      <c r="Q259" t="s">
        <v>29</v>
      </c>
      <c r="R259" t="s">
        <v>47</v>
      </c>
      <c r="S259">
        <v>11</v>
      </c>
      <c r="T259">
        <v>8</v>
      </c>
      <c r="U259" t="s">
        <v>48</v>
      </c>
      <c r="V259" t="str">
        <f t="shared" si="4"/>
        <v>Nov-2023</v>
      </c>
      <c r="W259" s="16">
        <f>Table1[[#This Row],[Consultation Date]] - Table1[[#This Row],[Appointment Date]]</f>
        <v>0.41666666666424135</v>
      </c>
    </row>
    <row r="260" spans="1:23" x14ac:dyDescent="0.3">
      <c r="A260" t="s">
        <v>317</v>
      </c>
      <c r="B260">
        <v>69</v>
      </c>
      <c r="C260" t="s">
        <v>33</v>
      </c>
      <c r="D260" s="2">
        <v>44966</v>
      </c>
      <c r="E260" s="2">
        <v>45185</v>
      </c>
      <c r="F260">
        <v>14</v>
      </c>
      <c r="G260" t="s">
        <v>63</v>
      </c>
      <c r="H260">
        <v>5</v>
      </c>
      <c r="I260" t="s">
        <v>35</v>
      </c>
      <c r="J260">
        <v>24344</v>
      </c>
      <c r="K260" t="s">
        <v>53</v>
      </c>
      <c r="L260" t="s">
        <v>54</v>
      </c>
      <c r="M260" t="s">
        <v>27</v>
      </c>
      <c r="N260" s="2">
        <v>45169</v>
      </c>
      <c r="O260" s="2">
        <v>45169.958333333336</v>
      </c>
      <c r="P260" t="s">
        <v>64</v>
      </c>
      <c r="Q260" t="s">
        <v>38</v>
      </c>
      <c r="R260" t="s">
        <v>47</v>
      </c>
      <c r="S260">
        <v>7</v>
      </c>
      <c r="T260">
        <v>10</v>
      </c>
      <c r="U260" t="s">
        <v>31</v>
      </c>
      <c r="V260" t="str">
        <f t="shared" si="4"/>
        <v>Feb-2023</v>
      </c>
      <c r="W260" s="16">
        <f>Table1[[#This Row],[Consultation Date]] - Table1[[#This Row],[Appointment Date]]</f>
        <v>0.95833333333575865</v>
      </c>
    </row>
    <row r="261" spans="1:23" x14ac:dyDescent="0.3">
      <c r="A261" t="s">
        <v>318</v>
      </c>
      <c r="B261">
        <v>37</v>
      </c>
      <c r="C261" t="s">
        <v>45</v>
      </c>
      <c r="D261" s="2">
        <v>45198</v>
      </c>
      <c r="E261" s="2">
        <v>45148</v>
      </c>
      <c r="F261">
        <v>9</v>
      </c>
      <c r="G261" t="s">
        <v>50</v>
      </c>
      <c r="H261">
        <v>2</v>
      </c>
      <c r="I261" t="s">
        <v>66</v>
      </c>
      <c r="J261">
        <v>15391</v>
      </c>
      <c r="K261" t="s">
        <v>60</v>
      </c>
      <c r="L261" t="s">
        <v>54</v>
      </c>
      <c r="M261" t="s">
        <v>27</v>
      </c>
      <c r="N261" s="2">
        <v>45194</v>
      </c>
      <c r="O261" s="2">
        <v>45194.083333333336</v>
      </c>
      <c r="P261" t="s">
        <v>55</v>
      </c>
      <c r="Q261" t="s">
        <v>29</v>
      </c>
      <c r="R261" t="s">
        <v>30</v>
      </c>
      <c r="S261">
        <v>9</v>
      </c>
      <c r="T261">
        <v>12</v>
      </c>
      <c r="U261" t="s">
        <v>68</v>
      </c>
      <c r="V261" t="str">
        <f t="shared" si="4"/>
        <v>Sep-2023</v>
      </c>
      <c r="W261" s="16">
        <f>Table1[[#This Row],[Consultation Date]] - Table1[[#This Row],[Appointment Date]]</f>
        <v>8.3333333335758653E-2</v>
      </c>
    </row>
    <row r="262" spans="1:23" x14ac:dyDescent="0.3">
      <c r="A262" t="s">
        <v>319</v>
      </c>
      <c r="B262">
        <v>32</v>
      </c>
      <c r="C262" t="s">
        <v>22</v>
      </c>
      <c r="D262" s="2">
        <v>45567</v>
      </c>
      <c r="E262" s="2">
        <v>45338</v>
      </c>
      <c r="F262">
        <v>6</v>
      </c>
      <c r="G262" t="s">
        <v>50</v>
      </c>
      <c r="H262">
        <v>5</v>
      </c>
      <c r="I262" t="s">
        <v>24</v>
      </c>
      <c r="J262">
        <v>15892</v>
      </c>
      <c r="K262" t="s">
        <v>67</v>
      </c>
      <c r="L262" t="s">
        <v>54</v>
      </c>
      <c r="M262" t="s">
        <v>27</v>
      </c>
      <c r="N262" s="2">
        <v>45506</v>
      </c>
      <c r="O262" s="2">
        <v>45537.291666666664</v>
      </c>
      <c r="P262" t="s">
        <v>42</v>
      </c>
      <c r="Q262" t="s">
        <v>29</v>
      </c>
      <c r="R262" t="s">
        <v>30</v>
      </c>
      <c r="S262">
        <v>11</v>
      </c>
      <c r="T262">
        <v>12</v>
      </c>
      <c r="U262" t="s">
        <v>68</v>
      </c>
      <c r="V262" t="str">
        <f t="shared" si="4"/>
        <v>Oct-2024</v>
      </c>
      <c r="W262" s="16">
        <f>Table1[[#This Row],[Consultation Date]] - Table1[[#This Row],[Appointment Date]]</f>
        <v>31.291666666664241</v>
      </c>
    </row>
    <row r="263" spans="1:23" x14ac:dyDescent="0.3">
      <c r="A263" t="s">
        <v>320</v>
      </c>
      <c r="B263">
        <v>9</v>
      </c>
      <c r="C263" t="s">
        <v>62</v>
      </c>
      <c r="D263" s="2">
        <v>45061</v>
      </c>
      <c r="E263" s="2">
        <v>45063</v>
      </c>
      <c r="F263">
        <v>2</v>
      </c>
      <c r="G263" t="s">
        <v>63</v>
      </c>
      <c r="H263">
        <v>5</v>
      </c>
      <c r="I263" t="s">
        <v>71</v>
      </c>
      <c r="J263">
        <v>16197</v>
      </c>
      <c r="K263" t="s">
        <v>60</v>
      </c>
      <c r="L263" t="s">
        <v>26</v>
      </c>
      <c r="M263" t="s">
        <v>27</v>
      </c>
      <c r="N263" s="2">
        <v>45061</v>
      </c>
      <c r="O263" s="2">
        <v>45061.291666666664</v>
      </c>
      <c r="P263" t="s">
        <v>55</v>
      </c>
      <c r="Q263" t="s">
        <v>29</v>
      </c>
      <c r="R263" t="s">
        <v>30</v>
      </c>
      <c r="S263">
        <v>8</v>
      </c>
      <c r="T263">
        <v>10</v>
      </c>
      <c r="U263" t="s">
        <v>31</v>
      </c>
      <c r="V263" t="str">
        <f t="shared" si="4"/>
        <v>May-2023</v>
      </c>
      <c r="W263" s="16">
        <f>Table1[[#This Row],[Consultation Date]] - Table1[[#This Row],[Appointment Date]]</f>
        <v>0.29166666666424135</v>
      </c>
    </row>
    <row r="264" spans="1:23" x14ac:dyDescent="0.3">
      <c r="A264" t="s">
        <v>321</v>
      </c>
      <c r="B264">
        <v>19</v>
      </c>
      <c r="C264" t="s">
        <v>45</v>
      </c>
      <c r="D264" s="2">
        <v>45027</v>
      </c>
      <c r="E264" s="2">
        <v>45247</v>
      </c>
      <c r="F264">
        <v>13</v>
      </c>
      <c r="G264" t="s">
        <v>23</v>
      </c>
      <c r="H264">
        <v>3</v>
      </c>
      <c r="I264" t="s">
        <v>46</v>
      </c>
      <c r="J264">
        <v>18050</v>
      </c>
      <c r="K264" t="s">
        <v>60</v>
      </c>
      <c r="L264" t="s">
        <v>54</v>
      </c>
      <c r="M264" t="s">
        <v>27</v>
      </c>
      <c r="N264" s="2">
        <v>44937</v>
      </c>
      <c r="O264" s="2">
        <v>44937.791666666664</v>
      </c>
      <c r="P264" t="s">
        <v>55</v>
      </c>
      <c r="Q264" t="s">
        <v>29</v>
      </c>
      <c r="R264" t="s">
        <v>30</v>
      </c>
      <c r="S264">
        <v>9</v>
      </c>
      <c r="T264">
        <v>10</v>
      </c>
      <c r="U264" t="s">
        <v>31</v>
      </c>
      <c r="V264" t="str">
        <f t="shared" si="4"/>
        <v>Apr-2023</v>
      </c>
      <c r="W264" s="16">
        <f>Table1[[#This Row],[Consultation Date]] - Table1[[#This Row],[Appointment Date]]</f>
        <v>0.79166666666424135</v>
      </c>
    </row>
    <row r="265" spans="1:23" x14ac:dyDescent="0.3">
      <c r="A265" t="s">
        <v>322</v>
      </c>
      <c r="B265">
        <v>48</v>
      </c>
      <c r="C265" t="s">
        <v>45</v>
      </c>
      <c r="D265" s="2">
        <v>45395</v>
      </c>
      <c r="E265" s="2">
        <v>45400</v>
      </c>
      <c r="F265">
        <v>5</v>
      </c>
      <c r="G265" t="s">
        <v>57</v>
      </c>
      <c r="H265">
        <v>2</v>
      </c>
      <c r="I265" t="s">
        <v>46</v>
      </c>
      <c r="J265">
        <v>41142</v>
      </c>
      <c r="K265" t="s">
        <v>25</v>
      </c>
      <c r="L265" t="s">
        <v>54</v>
      </c>
      <c r="M265" t="s">
        <v>41</v>
      </c>
      <c r="N265" s="2">
        <v>45539</v>
      </c>
      <c r="O265" s="2">
        <v>45569.125</v>
      </c>
      <c r="P265" t="s">
        <v>64</v>
      </c>
      <c r="Q265" t="s">
        <v>29</v>
      </c>
      <c r="R265" t="s">
        <v>47</v>
      </c>
      <c r="S265">
        <v>6</v>
      </c>
      <c r="T265">
        <v>12</v>
      </c>
      <c r="U265" t="s">
        <v>48</v>
      </c>
      <c r="V265" t="str">
        <f t="shared" si="4"/>
        <v>Apr-2024</v>
      </c>
      <c r="W265" s="16">
        <f>Table1[[#This Row],[Consultation Date]] - Table1[[#This Row],[Appointment Date]]</f>
        <v>30.125</v>
      </c>
    </row>
    <row r="266" spans="1:23" x14ac:dyDescent="0.3">
      <c r="A266" t="s">
        <v>323</v>
      </c>
      <c r="B266">
        <v>80</v>
      </c>
      <c r="C266" t="s">
        <v>22</v>
      </c>
      <c r="D266" s="2">
        <v>45250</v>
      </c>
      <c r="E266" s="2">
        <v>45260</v>
      </c>
      <c r="F266">
        <v>10</v>
      </c>
      <c r="G266" t="s">
        <v>34</v>
      </c>
      <c r="H266">
        <v>2</v>
      </c>
      <c r="I266" t="s">
        <v>66</v>
      </c>
      <c r="J266">
        <v>46615</v>
      </c>
      <c r="K266" t="s">
        <v>53</v>
      </c>
      <c r="L266" t="s">
        <v>26</v>
      </c>
      <c r="M266" t="s">
        <v>27</v>
      </c>
      <c r="N266" s="2">
        <v>45247</v>
      </c>
      <c r="O266" s="2">
        <v>45247.25</v>
      </c>
      <c r="P266" t="s">
        <v>64</v>
      </c>
      <c r="Q266" t="s">
        <v>29</v>
      </c>
      <c r="R266" t="s">
        <v>30</v>
      </c>
      <c r="S266">
        <v>10</v>
      </c>
      <c r="T266">
        <v>12</v>
      </c>
      <c r="U266" t="s">
        <v>68</v>
      </c>
      <c r="V266" t="str">
        <f t="shared" si="4"/>
        <v>Nov-2023</v>
      </c>
      <c r="W266" s="16">
        <f>Table1[[#This Row],[Consultation Date]] - Table1[[#This Row],[Appointment Date]]</f>
        <v>0.25</v>
      </c>
    </row>
    <row r="267" spans="1:23" x14ac:dyDescent="0.3">
      <c r="A267" t="s">
        <v>324</v>
      </c>
      <c r="B267">
        <v>3</v>
      </c>
      <c r="C267" t="s">
        <v>52</v>
      </c>
      <c r="D267" s="2">
        <v>45001</v>
      </c>
      <c r="E267" s="2">
        <v>45005</v>
      </c>
      <c r="F267">
        <v>4</v>
      </c>
      <c r="G267" t="s">
        <v>57</v>
      </c>
      <c r="H267">
        <v>3</v>
      </c>
      <c r="I267" t="s">
        <v>71</v>
      </c>
      <c r="J267">
        <v>48728</v>
      </c>
      <c r="K267" t="s">
        <v>60</v>
      </c>
      <c r="L267" t="s">
        <v>26</v>
      </c>
      <c r="M267" t="s">
        <v>27</v>
      </c>
      <c r="N267" s="2">
        <v>45263</v>
      </c>
      <c r="O267" s="2">
        <v>45263.333333333336</v>
      </c>
      <c r="P267" t="s">
        <v>28</v>
      </c>
      <c r="Q267" t="s">
        <v>29</v>
      </c>
      <c r="R267" t="s">
        <v>43</v>
      </c>
      <c r="S267">
        <v>7</v>
      </c>
      <c r="T267">
        <v>12</v>
      </c>
      <c r="U267" t="s">
        <v>31</v>
      </c>
      <c r="V267" t="str">
        <f t="shared" si="4"/>
        <v>Mar-2023</v>
      </c>
      <c r="W267" s="16">
        <f>Table1[[#This Row],[Consultation Date]] - Table1[[#This Row],[Appointment Date]]</f>
        <v>0.33333333333575865</v>
      </c>
    </row>
    <row r="268" spans="1:23" x14ac:dyDescent="0.3">
      <c r="A268" t="s">
        <v>325</v>
      </c>
      <c r="B268">
        <v>20</v>
      </c>
      <c r="C268" t="s">
        <v>22</v>
      </c>
      <c r="D268" s="2">
        <v>45200</v>
      </c>
      <c r="E268" s="2">
        <v>44949</v>
      </c>
      <c r="F268">
        <v>13</v>
      </c>
      <c r="G268" t="s">
        <v>34</v>
      </c>
      <c r="H268">
        <v>4</v>
      </c>
      <c r="I268" t="s">
        <v>35</v>
      </c>
      <c r="J268">
        <v>18535</v>
      </c>
      <c r="K268" t="s">
        <v>36</v>
      </c>
      <c r="L268" t="s">
        <v>54</v>
      </c>
      <c r="M268" t="s">
        <v>27</v>
      </c>
      <c r="N268" s="2">
        <v>45139</v>
      </c>
      <c r="O268" s="2">
        <v>45170.958333333336</v>
      </c>
      <c r="P268" t="s">
        <v>37</v>
      </c>
      <c r="Q268" t="s">
        <v>29</v>
      </c>
      <c r="R268" t="s">
        <v>47</v>
      </c>
      <c r="S268">
        <v>9</v>
      </c>
      <c r="T268">
        <v>10</v>
      </c>
      <c r="U268" t="s">
        <v>68</v>
      </c>
      <c r="V268" t="str">
        <f t="shared" si="4"/>
        <v>Oct-2023</v>
      </c>
      <c r="W268" s="16">
        <f>Table1[[#This Row],[Consultation Date]] - Table1[[#This Row],[Appointment Date]]</f>
        <v>31.958333333335759</v>
      </c>
    </row>
    <row r="269" spans="1:23" x14ac:dyDescent="0.3">
      <c r="A269" t="s">
        <v>326</v>
      </c>
      <c r="B269">
        <v>24</v>
      </c>
      <c r="C269" t="s">
        <v>62</v>
      </c>
      <c r="D269" s="2">
        <v>45396</v>
      </c>
      <c r="E269" s="2">
        <v>45403</v>
      </c>
      <c r="F269">
        <v>7</v>
      </c>
      <c r="G269" t="s">
        <v>63</v>
      </c>
      <c r="H269">
        <v>2</v>
      </c>
      <c r="I269" t="s">
        <v>46</v>
      </c>
      <c r="J269">
        <v>46002</v>
      </c>
      <c r="K269" t="s">
        <v>53</v>
      </c>
      <c r="L269" t="s">
        <v>54</v>
      </c>
      <c r="M269" t="s">
        <v>41</v>
      </c>
      <c r="N269" s="2">
        <v>45569</v>
      </c>
      <c r="O269" s="2">
        <v>45569.416666666664</v>
      </c>
      <c r="P269" t="s">
        <v>42</v>
      </c>
      <c r="Q269" t="s">
        <v>29</v>
      </c>
      <c r="R269" t="s">
        <v>30</v>
      </c>
      <c r="S269">
        <v>11</v>
      </c>
      <c r="T269">
        <v>8</v>
      </c>
      <c r="U269" t="s">
        <v>48</v>
      </c>
      <c r="V269" t="str">
        <f t="shared" si="4"/>
        <v>Apr-2024</v>
      </c>
      <c r="W269" s="16">
        <f>Table1[[#This Row],[Consultation Date]] - Table1[[#This Row],[Appointment Date]]</f>
        <v>0.41666666666424135</v>
      </c>
    </row>
    <row r="270" spans="1:23" x14ac:dyDescent="0.3">
      <c r="A270" t="s">
        <v>327</v>
      </c>
      <c r="B270">
        <v>54</v>
      </c>
      <c r="C270" t="s">
        <v>45</v>
      </c>
      <c r="D270" s="2">
        <v>45029</v>
      </c>
      <c r="E270" s="2">
        <v>45043</v>
      </c>
      <c r="F270">
        <v>14</v>
      </c>
      <c r="G270" t="s">
        <v>50</v>
      </c>
      <c r="H270">
        <v>1</v>
      </c>
      <c r="I270" t="s">
        <v>66</v>
      </c>
      <c r="J270">
        <v>48271</v>
      </c>
      <c r="K270" t="s">
        <v>67</v>
      </c>
      <c r="L270" t="s">
        <v>26</v>
      </c>
      <c r="M270" t="s">
        <v>27</v>
      </c>
      <c r="N270" s="2">
        <v>45142</v>
      </c>
      <c r="O270" s="2">
        <v>45142.958333333336</v>
      </c>
      <c r="P270" t="s">
        <v>64</v>
      </c>
      <c r="Q270" t="s">
        <v>29</v>
      </c>
      <c r="R270" t="s">
        <v>47</v>
      </c>
      <c r="S270">
        <v>7</v>
      </c>
      <c r="T270">
        <v>10</v>
      </c>
      <c r="U270" t="s">
        <v>31</v>
      </c>
      <c r="V270" t="str">
        <f t="shared" si="4"/>
        <v>Apr-2023</v>
      </c>
      <c r="W270" s="16">
        <f>Table1[[#This Row],[Consultation Date]] - Table1[[#This Row],[Appointment Date]]</f>
        <v>0.95833333333575865</v>
      </c>
    </row>
    <row r="271" spans="1:23" x14ac:dyDescent="0.3">
      <c r="A271" t="s">
        <v>328</v>
      </c>
      <c r="B271">
        <v>33</v>
      </c>
      <c r="C271" t="s">
        <v>22</v>
      </c>
      <c r="D271" s="2">
        <v>45002</v>
      </c>
      <c r="E271" s="2">
        <v>45011</v>
      </c>
      <c r="F271">
        <v>9</v>
      </c>
      <c r="G271" t="s">
        <v>23</v>
      </c>
      <c r="H271">
        <v>3</v>
      </c>
      <c r="I271" t="s">
        <v>71</v>
      </c>
      <c r="J271">
        <v>10122</v>
      </c>
      <c r="K271" t="s">
        <v>25</v>
      </c>
      <c r="L271" t="s">
        <v>26</v>
      </c>
      <c r="M271" t="s">
        <v>27</v>
      </c>
      <c r="N271" s="2">
        <v>44998</v>
      </c>
      <c r="O271" s="2">
        <v>44998.833333333336</v>
      </c>
      <c r="P271" t="s">
        <v>42</v>
      </c>
      <c r="Q271" t="s">
        <v>29</v>
      </c>
      <c r="R271" t="s">
        <v>30</v>
      </c>
      <c r="S271">
        <v>11</v>
      </c>
      <c r="T271">
        <v>12</v>
      </c>
      <c r="U271" t="s">
        <v>48</v>
      </c>
      <c r="V271" t="str">
        <f t="shared" si="4"/>
        <v>Mar-2023</v>
      </c>
      <c r="W271" s="16">
        <f>Table1[[#This Row],[Consultation Date]] - Table1[[#This Row],[Appointment Date]]</f>
        <v>0.83333333333575865</v>
      </c>
    </row>
    <row r="272" spans="1:23" x14ac:dyDescent="0.3">
      <c r="A272" t="s">
        <v>329</v>
      </c>
      <c r="B272">
        <v>24</v>
      </c>
      <c r="C272" t="s">
        <v>52</v>
      </c>
      <c r="D272" s="2">
        <v>45115</v>
      </c>
      <c r="E272" s="2">
        <v>45158</v>
      </c>
      <c r="F272">
        <v>13</v>
      </c>
      <c r="G272" t="s">
        <v>50</v>
      </c>
      <c r="H272">
        <v>2</v>
      </c>
      <c r="I272" t="s">
        <v>71</v>
      </c>
      <c r="J272">
        <v>14852</v>
      </c>
      <c r="K272" t="s">
        <v>67</v>
      </c>
      <c r="L272" t="s">
        <v>54</v>
      </c>
      <c r="M272" t="s">
        <v>27</v>
      </c>
      <c r="N272" s="2">
        <v>45115</v>
      </c>
      <c r="O272" s="2">
        <v>45115.916666666664</v>
      </c>
      <c r="P272" t="s">
        <v>55</v>
      </c>
      <c r="Q272" t="s">
        <v>29</v>
      </c>
      <c r="R272" t="s">
        <v>47</v>
      </c>
      <c r="S272">
        <v>9</v>
      </c>
      <c r="T272">
        <v>8</v>
      </c>
      <c r="U272" t="s">
        <v>68</v>
      </c>
      <c r="V272" t="str">
        <f t="shared" si="4"/>
        <v>Jul-2023</v>
      </c>
      <c r="W272" s="16">
        <f>Table1[[#This Row],[Consultation Date]] - Table1[[#This Row],[Appointment Date]]</f>
        <v>0.91666666666424135</v>
      </c>
    </row>
    <row r="273" spans="1:23" x14ac:dyDescent="0.3">
      <c r="A273" t="s">
        <v>330</v>
      </c>
      <c r="B273">
        <v>75</v>
      </c>
      <c r="C273" t="s">
        <v>22</v>
      </c>
      <c r="D273" s="2">
        <v>45328</v>
      </c>
      <c r="E273" s="2">
        <v>45459</v>
      </c>
      <c r="F273">
        <v>14</v>
      </c>
      <c r="G273" t="s">
        <v>57</v>
      </c>
      <c r="H273">
        <v>4</v>
      </c>
      <c r="I273" t="s">
        <v>71</v>
      </c>
      <c r="J273">
        <v>10387</v>
      </c>
      <c r="K273" t="s">
        <v>67</v>
      </c>
      <c r="L273" t="s">
        <v>54</v>
      </c>
      <c r="M273" t="s">
        <v>27</v>
      </c>
      <c r="N273" s="2">
        <v>45297</v>
      </c>
      <c r="O273" s="2">
        <v>45328.25</v>
      </c>
      <c r="P273" t="s">
        <v>37</v>
      </c>
      <c r="Q273" t="s">
        <v>29</v>
      </c>
      <c r="R273" t="s">
        <v>30</v>
      </c>
      <c r="S273">
        <v>10</v>
      </c>
      <c r="T273">
        <v>10</v>
      </c>
      <c r="U273" t="s">
        <v>48</v>
      </c>
      <c r="V273" t="str">
        <f t="shared" si="4"/>
        <v>Feb-2024</v>
      </c>
      <c r="W273" s="16">
        <f>Table1[[#This Row],[Consultation Date]] - Table1[[#This Row],[Appointment Date]]</f>
        <v>31.25</v>
      </c>
    </row>
    <row r="274" spans="1:23" x14ac:dyDescent="0.3">
      <c r="A274" t="s">
        <v>331</v>
      </c>
      <c r="B274">
        <v>72</v>
      </c>
      <c r="C274" t="s">
        <v>33</v>
      </c>
      <c r="D274" s="2">
        <v>45198</v>
      </c>
      <c r="E274" s="2">
        <v>45179</v>
      </c>
      <c r="F274">
        <v>10</v>
      </c>
      <c r="G274" t="s">
        <v>50</v>
      </c>
      <c r="H274">
        <v>2</v>
      </c>
      <c r="I274" t="s">
        <v>71</v>
      </c>
      <c r="J274">
        <v>36759</v>
      </c>
      <c r="K274" t="s">
        <v>53</v>
      </c>
      <c r="L274" t="s">
        <v>54</v>
      </c>
      <c r="M274" t="s">
        <v>27</v>
      </c>
      <c r="N274" s="2">
        <v>45198</v>
      </c>
      <c r="O274" s="2">
        <v>45198.583333333336</v>
      </c>
      <c r="P274" t="s">
        <v>28</v>
      </c>
      <c r="Q274" t="s">
        <v>29</v>
      </c>
      <c r="R274" t="s">
        <v>43</v>
      </c>
      <c r="S274">
        <v>4</v>
      </c>
      <c r="T274">
        <v>12</v>
      </c>
      <c r="U274" t="s">
        <v>48</v>
      </c>
      <c r="V274" t="str">
        <f t="shared" si="4"/>
        <v>Sep-2023</v>
      </c>
      <c r="W274" s="16">
        <f>Table1[[#This Row],[Consultation Date]] - Table1[[#This Row],[Appointment Date]]</f>
        <v>0.58333333333575865</v>
      </c>
    </row>
    <row r="275" spans="1:23" x14ac:dyDescent="0.3">
      <c r="A275" t="s">
        <v>332</v>
      </c>
      <c r="B275">
        <v>36</v>
      </c>
      <c r="C275" t="s">
        <v>52</v>
      </c>
      <c r="D275" s="2">
        <v>45062</v>
      </c>
      <c r="E275" s="2">
        <v>45072</v>
      </c>
      <c r="F275">
        <v>10</v>
      </c>
      <c r="G275" t="s">
        <v>63</v>
      </c>
      <c r="H275">
        <v>5</v>
      </c>
      <c r="I275" t="s">
        <v>71</v>
      </c>
      <c r="J275">
        <v>45399</v>
      </c>
      <c r="K275" t="s">
        <v>67</v>
      </c>
      <c r="L275" t="s">
        <v>54</v>
      </c>
      <c r="M275" t="s">
        <v>41</v>
      </c>
      <c r="N275" s="2">
        <v>45059</v>
      </c>
      <c r="O275" s="2">
        <v>45060.416666666664</v>
      </c>
      <c r="P275" t="s">
        <v>42</v>
      </c>
      <c r="Q275" t="s">
        <v>29</v>
      </c>
      <c r="R275" t="s">
        <v>30</v>
      </c>
      <c r="S275">
        <v>10</v>
      </c>
      <c r="T275">
        <v>10</v>
      </c>
      <c r="U275" t="s">
        <v>68</v>
      </c>
      <c r="V275" t="str">
        <f t="shared" si="4"/>
        <v>May-2023</v>
      </c>
      <c r="W275" s="16">
        <f>Table1[[#This Row],[Consultation Date]] - Table1[[#This Row],[Appointment Date]]</f>
        <v>1.4166666666642413</v>
      </c>
    </row>
    <row r="276" spans="1:23" x14ac:dyDescent="0.3">
      <c r="A276" t="s">
        <v>333</v>
      </c>
      <c r="B276">
        <v>38</v>
      </c>
      <c r="C276" t="s">
        <v>62</v>
      </c>
      <c r="D276" s="2">
        <v>45284</v>
      </c>
      <c r="E276" s="2">
        <v>45383</v>
      </c>
      <c r="F276">
        <v>11</v>
      </c>
      <c r="G276" t="s">
        <v>23</v>
      </c>
      <c r="H276">
        <v>1</v>
      </c>
      <c r="I276" t="s">
        <v>46</v>
      </c>
      <c r="J276">
        <v>44994</v>
      </c>
      <c r="K276" t="s">
        <v>60</v>
      </c>
      <c r="L276" t="s">
        <v>54</v>
      </c>
      <c r="M276" t="s">
        <v>27</v>
      </c>
      <c r="N276" s="2">
        <v>45282</v>
      </c>
      <c r="O276" s="2">
        <v>45283.291666666664</v>
      </c>
      <c r="P276" t="s">
        <v>37</v>
      </c>
      <c r="Q276" t="s">
        <v>29</v>
      </c>
      <c r="R276" t="s">
        <v>47</v>
      </c>
      <c r="S276">
        <v>9</v>
      </c>
      <c r="T276">
        <v>8</v>
      </c>
      <c r="U276" t="s">
        <v>48</v>
      </c>
      <c r="V276" t="str">
        <f t="shared" si="4"/>
        <v>Dec-2023</v>
      </c>
      <c r="W276" s="16">
        <f>Table1[[#This Row],[Consultation Date]] - Table1[[#This Row],[Appointment Date]]</f>
        <v>1.2916666666642413</v>
      </c>
    </row>
    <row r="277" spans="1:23" x14ac:dyDescent="0.3">
      <c r="A277" t="s">
        <v>334</v>
      </c>
      <c r="B277">
        <v>84</v>
      </c>
      <c r="C277" t="s">
        <v>45</v>
      </c>
      <c r="D277" s="2">
        <v>45263</v>
      </c>
      <c r="E277" s="2">
        <v>45008</v>
      </c>
      <c r="F277">
        <v>11</v>
      </c>
      <c r="G277" t="s">
        <v>57</v>
      </c>
      <c r="H277">
        <v>3</v>
      </c>
      <c r="I277" t="s">
        <v>66</v>
      </c>
      <c r="J277">
        <v>42876</v>
      </c>
      <c r="K277" t="s">
        <v>67</v>
      </c>
      <c r="L277" t="s">
        <v>26</v>
      </c>
      <c r="M277" t="s">
        <v>41</v>
      </c>
      <c r="N277" s="2">
        <v>45202</v>
      </c>
      <c r="O277" s="2">
        <v>45202.958333333336</v>
      </c>
      <c r="P277" t="s">
        <v>28</v>
      </c>
      <c r="Q277" t="s">
        <v>29</v>
      </c>
      <c r="R277" t="s">
        <v>47</v>
      </c>
      <c r="S277">
        <v>6</v>
      </c>
      <c r="T277">
        <v>12</v>
      </c>
      <c r="U277" t="s">
        <v>68</v>
      </c>
      <c r="V277" t="str">
        <f t="shared" si="4"/>
        <v>Dec-2023</v>
      </c>
      <c r="W277" s="16">
        <f>Table1[[#This Row],[Consultation Date]] - Table1[[#This Row],[Appointment Date]]</f>
        <v>0.95833333333575865</v>
      </c>
    </row>
    <row r="278" spans="1:23" x14ac:dyDescent="0.3">
      <c r="A278" t="s">
        <v>335</v>
      </c>
      <c r="B278">
        <v>89</v>
      </c>
      <c r="C278" t="s">
        <v>22</v>
      </c>
      <c r="D278" s="2">
        <v>45147</v>
      </c>
      <c r="E278" s="2">
        <v>45186</v>
      </c>
      <c r="F278">
        <v>9</v>
      </c>
      <c r="G278" t="s">
        <v>23</v>
      </c>
      <c r="H278">
        <v>5</v>
      </c>
      <c r="I278" t="s">
        <v>71</v>
      </c>
      <c r="J278">
        <v>39878</v>
      </c>
      <c r="K278" t="s">
        <v>25</v>
      </c>
      <c r="L278" t="s">
        <v>26</v>
      </c>
      <c r="M278" t="s">
        <v>41</v>
      </c>
      <c r="N278" s="2">
        <v>45025</v>
      </c>
      <c r="O278" s="2">
        <v>45055.291666666664</v>
      </c>
      <c r="P278" t="s">
        <v>42</v>
      </c>
      <c r="Q278" t="s">
        <v>29</v>
      </c>
      <c r="R278" t="s">
        <v>43</v>
      </c>
      <c r="S278">
        <v>10</v>
      </c>
      <c r="T278">
        <v>10</v>
      </c>
      <c r="U278" t="s">
        <v>31</v>
      </c>
      <c r="V278" t="str">
        <f t="shared" si="4"/>
        <v>Aug-2023</v>
      </c>
      <c r="W278" s="16">
        <f>Table1[[#This Row],[Consultation Date]] - Table1[[#This Row],[Appointment Date]]</f>
        <v>30.291666666664241</v>
      </c>
    </row>
    <row r="279" spans="1:23" x14ac:dyDescent="0.3">
      <c r="A279" t="s">
        <v>336</v>
      </c>
      <c r="B279">
        <v>25</v>
      </c>
      <c r="C279" t="s">
        <v>52</v>
      </c>
      <c r="D279" s="2">
        <v>45305</v>
      </c>
      <c r="E279" s="2">
        <v>45306</v>
      </c>
      <c r="F279">
        <v>1</v>
      </c>
      <c r="G279" t="s">
        <v>34</v>
      </c>
      <c r="H279">
        <v>4</v>
      </c>
      <c r="I279" t="s">
        <v>24</v>
      </c>
      <c r="J279">
        <v>38725</v>
      </c>
      <c r="K279" t="s">
        <v>25</v>
      </c>
      <c r="L279" t="s">
        <v>26</v>
      </c>
      <c r="M279" t="s">
        <v>27</v>
      </c>
      <c r="N279" s="2">
        <v>45627</v>
      </c>
      <c r="O279" s="2">
        <v>45627.291666666664</v>
      </c>
      <c r="P279" t="s">
        <v>37</v>
      </c>
      <c r="Q279" t="s">
        <v>29</v>
      </c>
      <c r="R279" t="s">
        <v>47</v>
      </c>
      <c r="S279">
        <v>8</v>
      </c>
      <c r="T279">
        <v>8</v>
      </c>
      <c r="U279" t="s">
        <v>68</v>
      </c>
      <c r="V279" t="str">
        <f t="shared" si="4"/>
        <v>Jan-2024</v>
      </c>
      <c r="W279" s="16">
        <f>Table1[[#This Row],[Consultation Date]] - Table1[[#This Row],[Appointment Date]]</f>
        <v>0.29166666666424135</v>
      </c>
    </row>
    <row r="280" spans="1:23" x14ac:dyDescent="0.3">
      <c r="A280" t="s">
        <v>337</v>
      </c>
      <c r="B280">
        <v>18</v>
      </c>
      <c r="C280" t="s">
        <v>33</v>
      </c>
      <c r="D280" s="2">
        <v>45218</v>
      </c>
      <c r="E280" s="2">
        <v>45228</v>
      </c>
      <c r="F280">
        <v>10</v>
      </c>
      <c r="G280" t="s">
        <v>50</v>
      </c>
      <c r="H280">
        <v>5</v>
      </c>
      <c r="I280" t="s">
        <v>24</v>
      </c>
      <c r="J280">
        <v>12146</v>
      </c>
      <c r="K280" t="s">
        <v>36</v>
      </c>
      <c r="L280" t="s">
        <v>54</v>
      </c>
      <c r="M280" t="s">
        <v>27</v>
      </c>
      <c r="N280" s="2">
        <v>45217</v>
      </c>
      <c r="O280" s="2">
        <v>45218.208333333336</v>
      </c>
      <c r="P280" t="s">
        <v>64</v>
      </c>
      <c r="Q280" t="s">
        <v>29</v>
      </c>
      <c r="R280" t="s">
        <v>43</v>
      </c>
      <c r="S280">
        <v>6</v>
      </c>
      <c r="T280">
        <v>8</v>
      </c>
      <c r="U280" t="s">
        <v>68</v>
      </c>
      <c r="V280" t="str">
        <f t="shared" si="4"/>
        <v>Oct-2023</v>
      </c>
      <c r="W280" s="16">
        <f>Table1[[#This Row],[Consultation Date]] - Table1[[#This Row],[Appointment Date]]</f>
        <v>1.2083333333357587</v>
      </c>
    </row>
    <row r="281" spans="1:23" x14ac:dyDescent="0.3">
      <c r="A281" t="s">
        <v>338</v>
      </c>
      <c r="B281">
        <v>82</v>
      </c>
      <c r="C281" t="s">
        <v>52</v>
      </c>
      <c r="D281" s="2">
        <v>45236</v>
      </c>
      <c r="E281" s="2">
        <v>45103</v>
      </c>
      <c r="F281">
        <v>15</v>
      </c>
      <c r="G281" t="s">
        <v>23</v>
      </c>
      <c r="H281">
        <v>5</v>
      </c>
      <c r="I281" t="s">
        <v>66</v>
      </c>
      <c r="J281">
        <v>5560</v>
      </c>
      <c r="K281" t="s">
        <v>25</v>
      </c>
      <c r="L281" t="s">
        <v>26</v>
      </c>
      <c r="M281" t="s">
        <v>27</v>
      </c>
      <c r="N281" s="2">
        <v>45205</v>
      </c>
      <c r="O281" s="2">
        <v>45236.958333333336</v>
      </c>
      <c r="P281" t="s">
        <v>42</v>
      </c>
      <c r="Q281" t="s">
        <v>29</v>
      </c>
      <c r="R281" t="s">
        <v>47</v>
      </c>
      <c r="S281">
        <v>6</v>
      </c>
      <c r="T281">
        <v>10</v>
      </c>
      <c r="U281" t="s">
        <v>31</v>
      </c>
      <c r="V281" t="str">
        <f t="shared" si="4"/>
        <v>Nov-2023</v>
      </c>
      <c r="W281" s="16">
        <f>Table1[[#This Row],[Consultation Date]] - Table1[[#This Row],[Appointment Date]]</f>
        <v>31.958333333335759</v>
      </c>
    </row>
    <row r="282" spans="1:23" x14ac:dyDescent="0.3">
      <c r="A282" t="s">
        <v>339</v>
      </c>
      <c r="B282">
        <v>66</v>
      </c>
      <c r="C282" t="s">
        <v>41</v>
      </c>
      <c r="D282" s="2">
        <v>45375</v>
      </c>
      <c r="E282" s="2">
        <v>45386</v>
      </c>
      <c r="F282">
        <v>11</v>
      </c>
      <c r="G282" t="s">
        <v>40</v>
      </c>
      <c r="H282">
        <v>4</v>
      </c>
      <c r="I282" t="s">
        <v>35</v>
      </c>
      <c r="J282">
        <v>6312</v>
      </c>
      <c r="K282" t="s">
        <v>67</v>
      </c>
      <c r="L282" t="s">
        <v>26</v>
      </c>
      <c r="M282" t="s">
        <v>27</v>
      </c>
      <c r="N282" s="2">
        <v>45371</v>
      </c>
      <c r="O282" s="2">
        <v>45372.875</v>
      </c>
      <c r="P282" t="s">
        <v>37</v>
      </c>
      <c r="Q282" t="s">
        <v>29</v>
      </c>
      <c r="R282" t="s">
        <v>47</v>
      </c>
      <c r="S282">
        <v>6</v>
      </c>
      <c r="T282">
        <v>8</v>
      </c>
      <c r="U282" t="s">
        <v>68</v>
      </c>
      <c r="V282" t="str">
        <f t="shared" si="4"/>
        <v>Mar-2024</v>
      </c>
      <c r="W282" s="16">
        <f>Table1[[#This Row],[Consultation Date]] - Table1[[#This Row],[Appointment Date]]</f>
        <v>1.875</v>
      </c>
    </row>
    <row r="283" spans="1:23" x14ac:dyDescent="0.3">
      <c r="A283" t="s">
        <v>340</v>
      </c>
      <c r="B283">
        <v>54</v>
      </c>
      <c r="C283" t="s">
        <v>33</v>
      </c>
      <c r="D283" s="2">
        <v>45088</v>
      </c>
      <c r="E283" s="2">
        <v>45250</v>
      </c>
      <c r="F283">
        <v>14</v>
      </c>
      <c r="G283" t="s">
        <v>50</v>
      </c>
      <c r="H283">
        <v>5</v>
      </c>
      <c r="I283" t="s">
        <v>35</v>
      </c>
      <c r="J283">
        <v>23205</v>
      </c>
      <c r="K283" t="s">
        <v>25</v>
      </c>
      <c r="L283" t="s">
        <v>54</v>
      </c>
      <c r="M283" t="s">
        <v>27</v>
      </c>
      <c r="N283" s="2">
        <v>44968</v>
      </c>
      <c r="O283" s="2">
        <v>44996.208333333336</v>
      </c>
      <c r="P283" t="s">
        <v>28</v>
      </c>
      <c r="Q283" t="s">
        <v>29</v>
      </c>
      <c r="R283" t="s">
        <v>43</v>
      </c>
      <c r="S283">
        <v>7</v>
      </c>
      <c r="T283">
        <v>12</v>
      </c>
      <c r="U283" t="s">
        <v>31</v>
      </c>
      <c r="V283" t="str">
        <f t="shared" si="4"/>
        <v>Jun-2023</v>
      </c>
      <c r="W283" s="16">
        <f>Table1[[#This Row],[Consultation Date]] - Table1[[#This Row],[Appointment Date]]</f>
        <v>28.208333333335759</v>
      </c>
    </row>
    <row r="284" spans="1:23" x14ac:dyDescent="0.3">
      <c r="A284" t="s">
        <v>341</v>
      </c>
      <c r="B284">
        <v>35</v>
      </c>
      <c r="C284" t="s">
        <v>62</v>
      </c>
      <c r="D284" s="2">
        <v>45170</v>
      </c>
      <c r="E284" s="2">
        <v>44947</v>
      </c>
      <c r="F284">
        <v>12</v>
      </c>
      <c r="G284" t="s">
        <v>34</v>
      </c>
      <c r="H284">
        <v>3</v>
      </c>
      <c r="I284" t="s">
        <v>35</v>
      </c>
      <c r="J284">
        <v>16595</v>
      </c>
      <c r="K284" t="s">
        <v>53</v>
      </c>
      <c r="L284" t="s">
        <v>54</v>
      </c>
      <c r="M284" t="s">
        <v>27</v>
      </c>
      <c r="N284" s="2">
        <v>45078</v>
      </c>
      <c r="O284" s="2">
        <v>45078.875</v>
      </c>
      <c r="P284" t="s">
        <v>37</v>
      </c>
      <c r="Q284" t="s">
        <v>29</v>
      </c>
      <c r="R284" t="s">
        <v>47</v>
      </c>
      <c r="S284">
        <v>5</v>
      </c>
      <c r="T284">
        <v>8</v>
      </c>
      <c r="U284" t="s">
        <v>31</v>
      </c>
      <c r="V284" t="str">
        <f t="shared" si="4"/>
        <v>Sep-2023</v>
      </c>
      <c r="W284" s="16">
        <f>Table1[[#This Row],[Consultation Date]] - Table1[[#This Row],[Appointment Date]]</f>
        <v>0.875</v>
      </c>
    </row>
    <row r="285" spans="1:23" x14ac:dyDescent="0.3">
      <c r="A285" t="s">
        <v>342</v>
      </c>
      <c r="B285">
        <v>80</v>
      </c>
      <c r="C285" t="s">
        <v>45</v>
      </c>
      <c r="D285" s="2">
        <v>44996</v>
      </c>
      <c r="E285" s="2">
        <v>45149</v>
      </c>
      <c r="F285">
        <v>5</v>
      </c>
      <c r="G285" t="s">
        <v>23</v>
      </c>
      <c r="H285">
        <v>2</v>
      </c>
      <c r="I285" t="s">
        <v>24</v>
      </c>
      <c r="J285">
        <v>27030</v>
      </c>
      <c r="K285" t="s">
        <v>25</v>
      </c>
      <c r="L285" t="s">
        <v>54</v>
      </c>
      <c r="M285" t="s">
        <v>41</v>
      </c>
      <c r="N285" s="2">
        <v>45229</v>
      </c>
      <c r="O285" s="2">
        <v>45229.208333333336</v>
      </c>
      <c r="P285" t="s">
        <v>64</v>
      </c>
      <c r="Q285" t="s">
        <v>29</v>
      </c>
      <c r="R285" t="s">
        <v>47</v>
      </c>
      <c r="S285">
        <v>5</v>
      </c>
      <c r="T285">
        <v>10</v>
      </c>
      <c r="U285" t="s">
        <v>68</v>
      </c>
      <c r="V285" t="str">
        <f t="shared" si="4"/>
        <v>Mar-2023</v>
      </c>
      <c r="W285" s="16">
        <f>Table1[[#This Row],[Consultation Date]] - Table1[[#This Row],[Appointment Date]]</f>
        <v>0.20833333333575865</v>
      </c>
    </row>
    <row r="286" spans="1:23" x14ac:dyDescent="0.3">
      <c r="A286" t="s">
        <v>343</v>
      </c>
      <c r="B286">
        <v>61</v>
      </c>
      <c r="C286" t="s">
        <v>62</v>
      </c>
      <c r="D286" s="2">
        <v>45033</v>
      </c>
      <c r="E286" s="2">
        <v>45034</v>
      </c>
      <c r="F286">
        <v>1</v>
      </c>
      <c r="G286" t="s">
        <v>57</v>
      </c>
      <c r="H286">
        <v>5</v>
      </c>
      <c r="I286" t="s">
        <v>35</v>
      </c>
      <c r="J286">
        <v>26329</v>
      </c>
      <c r="K286" t="s">
        <v>60</v>
      </c>
      <c r="L286" t="s">
        <v>26</v>
      </c>
      <c r="M286" t="s">
        <v>27</v>
      </c>
      <c r="N286" s="2">
        <v>45033</v>
      </c>
      <c r="O286" s="2">
        <v>45033.833333333336</v>
      </c>
      <c r="P286" t="s">
        <v>42</v>
      </c>
      <c r="Q286" t="s">
        <v>29</v>
      </c>
      <c r="R286" t="s">
        <v>43</v>
      </c>
      <c r="S286">
        <v>4</v>
      </c>
      <c r="T286">
        <v>12</v>
      </c>
      <c r="U286" t="s">
        <v>48</v>
      </c>
      <c r="V286" t="str">
        <f t="shared" si="4"/>
        <v>Apr-2023</v>
      </c>
      <c r="W286" s="16">
        <f>Table1[[#This Row],[Consultation Date]] - Table1[[#This Row],[Appointment Date]]</f>
        <v>0.83333333333575865</v>
      </c>
    </row>
    <row r="287" spans="1:23" x14ac:dyDescent="0.3">
      <c r="A287" t="s">
        <v>344</v>
      </c>
      <c r="B287">
        <v>41</v>
      </c>
      <c r="C287" t="s">
        <v>22</v>
      </c>
      <c r="D287" s="2">
        <v>45064</v>
      </c>
      <c r="E287" s="2">
        <v>45067</v>
      </c>
      <c r="F287">
        <v>3</v>
      </c>
      <c r="G287" t="s">
        <v>34</v>
      </c>
      <c r="H287">
        <v>3</v>
      </c>
      <c r="I287" t="s">
        <v>46</v>
      </c>
      <c r="J287">
        <v>43142</v>
      </c>
      <c r="K287" t="s">
        <v>53</v>
      </c>
      <c r="L287" t="s">
        <v>54</v>
      </c>
      <c r="M287" t="s">
        <v>27</v>
      </c>
      <c r="N287" s="2">
        <v>45064</v>
      </c>
      <c r="O287" s="2">
        <v>45064.125</v>
      </c>
      <c r="P287" t="s">
        <v>42</v>
      </c>
      <c r="Q287" t="s">
        <v>29</v>
      </c>
      <c r="R287" t="s">
        <v>30</v>
      </c>
      <c r="S287">
        <v>11</v>
      </c>
      <c r="T287">
        <v>8</v>
      </c>
      <c r="U287" t="s">
        <v>48</v>
      </c>
      <c r="V287" t="str">
        <f t="shared" si="4"/>
        <v>May-2023</v>
      </c>
      <c r="W287" s="16">
        <f>Table1[[#This Row],[Consultation Date]] - Table1[[#This Row],[Appointment Date]]</f>
        <v>0.125</v>
      </c>
    </row>
    <row r="288" spans="1:23" x14ac:dyDescent="0.3">
      <c r="A288" t="s">
        <v>345</v>
      </c>
      <c r="B288">
        <v>33</v>
      </c>
      <c r="C288" t="s">
        <v>52</v>
      </c>
      <c r="D288" s="2">
        <v>45197</v>
      </c>
      <c r="E288" s="2">
        <v>44995</v>
      </c>
      <c r="F288">
        <v>5</v>
      </c>
      <c r="G288" t="s">
        <v>40</v>
      </c>
      <c r="H288">
        <v>2</v>
      </c>
      <c r="I288" t="s">
        <v>71</v>
      </c>
      <c r="J288">
        <v>7651</v>
      </c>
      <c r="K288" t="s">
        <v>36</v>
      </c>
      <c r="L288" t="s">
        <v>26</v>
      </c>
      <c r="M288" t="s">
        <v>27</v>
      </c>
      <c r="N288" s="2">
        <v>45197</v>
      </c>
      <c r="O288" s="2">
        <v>45198.916666666664</v>
      </c>
      <c r="P288" t="s">
        <v>42</v>
      </c>
      <c r="Q288" t="s">
        <v>29</v>
      </c>
      <c r="R288" t="s">
        <v>43</v>
      </c>
      <c r="S288">
        <v>11</v>
      </c>
      <c r="T288">
        <v>8</v>
      </c>
      <c r="U288" t="s">
        <v>31</v>
      </c>
      <c r="V288" t="str">
        <f t="shared" si="4"/>
        <v>Sep-2023</v>
      </c>
      <c r="W288" s="16">
        <f>Table1[[#This Row],[Consultation Date]] - Table1[[#This Row],[Appointment Date]]</f>
        <v>1.9166666666642413</v>
      </c>
    </row>
    <row r="289" spans="1:23" x14ac:dyDescent="0.3">
      <c r="A289" t="s">
        <v>346</v>
      </c>
      <c r="B289">
        <v>68</v>
      </c>
      <c r="C289" t="s">
        <v>41</v>
      </c>
      <c r="D289" s="2">
        <v>45045</v>
      </c>
      <c r="E289" s="2">
        <v>45235</v>
      </c>
      <c r="F289">
        <v>12</v>
      </c>
      <c r="G289" t="s">
        <v>23</v>
      </c>
      <c r="H289">
        <v>2</v>
      </c>
      <c r="I289" t="s">
        <v>24</v>
      </c>
      <c r="J289">
        <v>15006</v>
      </c>
      <c r="K289" t="s">
        <v>60</v>
      </c>
      <c r="L289" t="s">
        <v>54</v>
      </c>
      <c r="M289" t="s">
        <v>41</v>
      </c>
      <c r="N289" s="2">
        <v>45044</v>
      </c>
      <c r="O289" s="2">
        <v>45044.333333333336</v>
      </c>
      <c r="P289" t="s">
        <v>64</v>
      </c>
      <c r="Q289" t="s">
        <v>29</v>
      </c>
      <c r="R289" t="s">
        <v>47</v>
      </c>
      <c r="S289">
        <v>6</v>
      </c>
      <c r="T289">
        <v>12</v>
      </c>
      <c r="U289" t="s">
        <v>48</v>
      </c>
      <c r="V289" t="str">
        <f t="shared" si="4"/>
        <v>Apr-2023</v>
      </c>
      <c r="W289" s="16">
        <f>Table1[[#This Row],[Consultation Date]] - Table1[[#This Row],[Appointment Date]]</f>
        <v>0.33333333333575865</v>
      </c>
    </row>
    <row r="290" spans="1:23" x14ac:dyDescent="0.3">
      <c r="A290" t="s">
        <v>347</v>
      </c>
      <c r="B290">
        <v>33</v>
      </c>
      <c r="C290" t="s">
        <v>33</v>
      </c>
      <c r="D290" s="2">
        <v>45036</v>
      </c>
      <c r="E290" s="2">
        <v>44990</v>
      </c>
      <c r="F290">
        <v>13</v>
      </c>
      <c r="G290" t="s">
        <v>63</v>
      </c>
      <c r="H290">
        <v>5</v>
      </c>
      <c r="I290" t="s">
        <v>66</v>
      </c>
      <c r="J290">
        <v>47701</v>
      </c>
      <c r="K290" t="s">
        <v>67</v>
      </c>
      <c r="L290" t="s">
        <v>26</v>
      </c>
      <c r="M290" t="s">
        <v>27</v>
      </c>
      <c r="N290" s="2">
        <v>45031</v>
      </c>
      <c r="O290" s="2">
        <v>45031.083333333336</v>
      </c>
      <c r="P290" t="s">
        <v>28</v>
      </c>
      <c r="Q290" t="s">
        <v>29</v>
      </c>
      <c r="R290" t="s">
        <v>30</v>
      </c>
      <c r="S290">
        <v>5</v>
      </c>
      <c r="T290">
        <v>12</v>
      </c>
      <c r="U290" t="s">
        <v>48</v>
      </c>
      <c r="V290" t="str">
        <f t="shared" si="4"/>
        <v>Apr-2023</v>
      </c>
      <c r="W290" s="16">
        <f>Table1[[#This Row],[Consultation Date]] - Table1[[#This Row],[Appointment Date]]</f>
        <v>8.3333333335758653E-2</v>
      </c>
    </row>
    <row r="291" spans="1:23" x14ac:dyDescent="0.3">
      <c r="A291" t="s">
        <v>348</v>
      </c>
      <c r="B291">
        <v>14</v>
      </c>
      <c r="C291" t="s">
        <v>33</v>
      </c>
      <c r="D291" s="2">
        <v>45175</v>
      </c>
      <c r="E291" s="2">
        <v>45091</v>
      </c>
      <c r="F291">
        <v>5</v>
      </c>
      <c r="G291" t="s">
        <v>50</v>
      </c>
      <c r="H291">
        <v>3</v>
      </c>
      <c r="I291" t="s">
        <v>66</v>
      </c>
      <c r="J291">
        <v>40645</v>
      </c>
      <c r="K291" t="s">
        <v>67</v>
      </c>
      <c r="L291" t="s">
        <v>54</v>
      </c>
      <c r="M291" t="s">
        <v>41</v>
      </c>
      <c r="N291" s="2">
        <v>45113</v>
      </c>
      <c r="O291" s="2">
        <v>45113.916666666664</v>
      </c>
      <c r="P291" t="s">
        <v>42</v>
      </c>
      <c r="Q291" t="s">
        <v>29</v>
      </c>
      <c r="R291" t="s">
        <v>30</v>
      </c>
      <c r="S291">
        <v>4</v>
      </c>
      <c r="T291">
        <v>8</v>
      </c>
      <c r="U291" t="s">
        <v>68</v>
      </c>
      <c r="V291" t="str">
        <f t="shared" si="4"/>
        <v>Sep-2023</v>
      </c>
      <c r="W291" s="16">
        <f>Table1[[#This Row],[Consultation Date]] - Table1[[#This Row],[Appointment Date]]</f>
        <v>0.91666666666424135</v>
      </c>
    </row>
    <row r="292" spans="1:23" x14ac:dyDescent="0.3">
      <c r="A292" t="s">
        <v>349</v>
      </c>
      <c r="B292">
        <v>21</v>
      </c>
      <c r="C292" t="s">
        <v>52</v>
      </c>
      <c r="D292" s="2">
        <v>45087</v>
      </c>
      <c r="E292" s="2">
        <v>45220</v>
      </c>
      <c r="F292">
        <v>15</v>
      </c>
      <c r="G292" t="s">
        <v>57</v>
      </c>
      <c r="H292">
        <v>5</v>
      </c>
      <c r="I292" t="s">
        <v>71</v>
      </c>
      <c r="J292">
        <v>26966</v>
      </c>
      <c r="K292" t="s">
        <v>67</v>
      </c>
      <c r="L292" t="s">
        <v>26</v>
      </c>
      <c r="M292" t="s">
        <v>41</v>
      </c>
      <c r="N292" s="2">
        <v>44995</v>
      </c>
      <c r="O292" s="2">
        <v>45026.75</v>
      </c>
      <c r="P292" t="s">
        <v>28</v>
      </c>
      <c r="Q292" t="s">
        <v>29</v>
      </c>
      <c r="R292" t="s">
        <v>30</v>
      </c>
      <c r="S292">
        <v>7</v>
      </c>
      <c r="T292">
        <v>12</v>
      </c>
      <c r="U292" t="s">
        <v>31</v>
      </c>
      <c r="V292" t="str">
        <f t="shared" si="4"/>
        <v>Jun-2023</v>
      </c>
      <c r="W292" s="16">
        <f>Table1[[#This Row],[Consultation Date]] - Table1[[#This Row],[Appointment Date]]</f>
        <v>31.75</v>
      </c>
    </row>
    <row r="293" spans="1:23" x14ac:dyDescent="0.3">
      <c r="A293" t="s">
        <v>350</v>
      </c>
      <c r="B293">
        <v>48</v>
      </c>
      <c r="C293" t="s">
        <v>41</v>
      </c>
      <c r="D293" s="2">
        <v>45215</v>
      </c>
      <c r="E293" s="2">
        <v>45221</v>
      </c>
      <c r="F293">
        <v>6</v>
      </c>
      <c r="G293" t="s">
        <v>63</v>
      </c>
      <c r="H293">
        <v>4</v>
      </c>
      <c r="I293" t="s">
        <v>24</v>
      </c>
      <c r="J293">
        <v>32846</v>
      </c>
      <c r="K293" t="s">
        <v>60</v>
      </c>
      <c r="L293" t="s">
        <v>54</v>
      </c>
      <c r="M293" t="s">
        <v>27</v>
      </c>
      <c r="N293" s="2">
        <v>45270</v>
      </c>
      <c r="O293" s="2">
        <v>45270.291666666664</v>
      </c>
      <c r="P293" t="s">
        <v>37</v>
      </c>
      <c r="Q293" t="s">
        <v>38</v>
      </c>
      <c r="R293" t="s">
        <v>43</v>
      </c>
      <c r="S293">
        <v>6</v>
      </c>
      <c r="T293">
        <v>10</v>
      </c>
      <c r="U293" t="s">
        <v>31</v>
      </c>
      <c r="V293" t="str">
        <f t="shared" si="4"/>
        <v>Oct-2023</v>
      </c>
      <c r="W293" s="16">
        <f>Table1[[#This Row],[Consultation Date]] - Table1[[#This Row],[Appointment Date]]</f>
        <v>0.29166666666424135</v>
      </c>
    </row>
    <row r="294" spans="1:23" x14ac:dyDescent="0.3">
      <c r="A294" t="s">
        <v>351</v>
      </c>
      <c r="B294">
        <v>20</v>
      </c>
      <c r="C294" t="s">
        <v>52</v>
      </c>
      <c r="D294" s="2">
        <v>45024</v>
      </c>
      <c r="E294" s="2">
        <v>45207</v>
      </c>
      <c r="F294">
        <v>6</v>
      </c>
      <c r="G294" t="s">
        <v>23</v>
      </c>
      <c r="H294">
        <v>2</v>
      </c>
      <c r="I294" t="s">
        <v>35</v>
      </c>
      <c r="J294">
        <v>26774</v>
      </c>
      <c r="K294" t="s">
        <v>60</v>
      </c>
      <c r="L294" t="s">
        <v>26</v>
      </c>
      <c r="M294" t="s">
        <v>27</v>
      </c>
      <c r="N294" s="2">
        <v>44934</v>
      </c>
      <c r="O294" s="2">
        <v>44965.833333333336</v>
      </c>
      <c r="P294" t="s">
        <v>28</v>
      </c>
      <c r="Q294" t="s">
        <v>29</v>
      </c>
      <c r="R294" t="s">
        <v>30</v>
      </c>
      <c r="S294">
        <v>8</v>
      </c>
      <c r="T294">
        <v>8</v>
      </c>
      <c r="U294" t="s">
        <v>68</v>
      </c>
      <c r="V294" t="str">
        <f t="shared" si="4"/>
        <v>Apr-2023</v>
      </c>
      <c r="W294" s="16">
        <f>Table1[[#This Row],[Consultation Date]] - Table1[[#This Row],[Appointment Date]]</f>
        <v>31.833333333335759</v>
      </c>
    </row>
    <row r="295" spans="1:23" x14ac:dyDescent="0.3">
      <c r="A295" t="s">
        <v>352</v>
      </c>
      <c r="B295">
        <v>8</v>
      </c>
      <c r="C295" t="s">
        <v>22</v>
      </c>
      <c r="D295" s="2">
        <v>45278</v>
      </c>
      <c r="E295" s="2">
        <v>45279</v>
      </c>
      <c r="F295">
        <v>1</v>
      </c>
      <c r="G295" t="s">
        <v>23</v>
      </c>
      <c r="H295">
        <v>5</v>
      </c>
      <c r="I295" t="s">
        <v>35</v>
      </c>
      <c r="J295">
        <v>9083</v>
      </c>
      <c r="K295" t="s">
        <v>60</v>
      </c>
      <c r="L295" t="s">
        <v>54</v>
      </c>
      <c r="M295" t="s">
        <v>27</v>
      </c>
      <c r="N295" s="2">
        <v>45277</v>
      </c>
      <c r="O295" s="2">
        <v>45277.458333333336</v>
      </c>
      <c r="P295" t="s">
        <v>28</v>
      </c>
      <c r="Q295" t="s">
        <v>29</v>
      </c>
      <c r="R295" t="s">
        <v>30</v>
      </c>
      <c r="S295">
        <v>7</v>
      </c>
      <c r="T295">
        <v>10</v>
      </c>
      <c r="U295" t="s">
        <v>48</v>
      </c>
      <c r="V295" t="str">
        <f t="shared" si="4"/>
        <v>Dec-2023</v>
      </c>
      <c r="W295" s="16">
        <f>Table1[[#This Row],[Consultation Date]] - Table1[[#This Row],[Appointment Date]]</f>
        <v>0.45833333333575865</v>
      </c>
    </row>
    <row r="296" spans="1:23" x14ac:dyDescent="0.3">
      <c r="A296" t="s">
        <v>353</v>
      </c>
      <c r="B296">
        <v>7</v>
      </c>
      <c r="C296" t="s">
        <v>62</v>
      </c>
      <c r="D296" s="2">
        <v>45135</v>
      </c>
      <c r="E296" s="2">
        <v>45138</v>
      </c>
      <c r="F296">
        <v>3</v>
      </c>
      <c r="G296" t="s">
        <v>34</v>
      </c>
      <c r="H296">
        <v>2</v>
      </c>
      <c r="I296" t="s">
        <v>46</v>
      </c>
      <c r="J296">
        <v>38513</v>
      </c>
      <c r="K296" t="s">
        <v>53</v>
      </c>
      <c r="L296" t="s">
        <v>54</v>
      </c>
      <c r="M296" t="s">
        <v>27</v>
      </c>
      <c r="N296" s="2">
        <v>45131</v>
      </c>
      <c r="O296" s="2">
        <v>45133</v>
      </c>
      <c r="P296" t="s">
        <v>42</v>
      </c>
      <c r="Q296" t="s">
        <v>29</v>
      </c>
      <c r="R296" t="s">
        <v>30</v>
      </c>
      <c r="S296">
        <v>4</v>
      </c>
      <c r="T296">
        <v>8</v>
      </c>
      <c r="U296" t="s">
        <v>31</v>
      </c>
      <c r="V296" t="str">
        <f t="shared" si="4"/>
        <v>Jul-2023</v>
      </c>
      <c r="W296" s="16">
        <f>Table1[[#This Row],[Consultation Date]] - Table1[[#This Row],[Appointment Date]]</f>
        <v>2</v>
      </c>
    </row>
    <row r="297" spans="1:23" x14ac:dyDescent="0.3">
      <c r="A297" t="s">
        <v>354</v>
      </c>
      <c r="B297">
        <v>67</v>
      </c>
      <c r="C297" t="s">
        <v>33</v>
      </c>
      <c r="D297" s="2">
        <v>45197</v>
      </c>
      <c r="E297" s="2">
        <v>45270</v>
      </c>
      <c r="F297">
        <v>14</v>
      </c>
      <c r="G297" t="s">
        <v>23</v>
      </c>
      <c r="H297">
        <v>3</v>
      </c>
      <c r="I297" t="s">
        <v>46</v>
      </c>
      <c r="J297">
        <v>13749</v>
      </c>
      <c r="K297" t="s">
        <v>53</v>
      </c>
      <c r="L297" t="s">
        <v>54</v>
      </c>
      <c r="M297" t="s">
        <v>27</v>
      </c>
      <c r="N297" s="2">
        <v>45193</v>
      </c>
      <c r="O297" s="2">
        <v>45193.666666666664</v>
      </c>
      <c r="P297" t="s">
        <v>55</v>
      </c>
      <c r="Q297" t="s">
        <v>29</v>
      </c>
      <c r="R297" t="s">
        <v>47</v>
      </c>
      <c r="S297">
        <v>7</v>
      </c>
      <c r="T297">
        <v>10</v>
      </c>
      <c r="U297" t="s">
        <v>48</v>
      </c>
      <c r="V297" t="str">
        <f t="shared" si="4"/>
        <v>Sep-2023</v>
      </c>
      <c r="W297" s="16">
        <f>Table1[[#This Row],[Consultation Date]] - Table1[[#This Row],[Appointment Date]]</f>
        <v>0.66666666666424135</v>
      </c>
    </row>
    <row r="298" spans="1:23" x14ac:dyDescent="0.3">
      <c r="A298" t="s">
        <v>355</v>
      </c>
      <c r="B298">
        <v>17</v>
      </c>
      <c r="C298" t="s">
        <v>22</v>
      </c>
      <c r="D298" s="2">
        <v>45297</v>
      </c>
      <c r="E298" s="2">
        <v>45388</v>
      </c>
      <c r="F298">
        <v>3</v>
      </c>
      <c r="G298" t="s">
        <v>57</v>
      </c>
      <c r="H298">
        <v>1</v>
      </c>
      <c r="I298" t="s">
        <v>35</v>
      </c>
      <c r="J298">
        <v>35783</v>
      </c>
      <c r="K298" t="s">
        <v>67</v>
      </c>
      <c r="L298" t="s">
        <v>54</v>
      </c>
      <c r="M298" t="s">
        <v>27</v>
      </c>
      <c r="N298" s="2">
        <v>45443</v>
      </c>
      <c r="O298" s="2">
        <v>45297.416666666664</v>
      </c>
      <c r="P298" t="s">
        <v>55</v>
      </c>
      <c r="Q298" t="s">
        <v>29</v>
      </c>
      <c r="R298" t="s">
        <v>43</v>
      </c>
      <c r="S298">
        <v>8</v>
      </c>
      <c r="T298">
        <v>10</v>
      </c>
      <c r="U298" t="s">
        <v>31</v>
      </c>
      <c r="V298" t="str">
        <f t="shared" si="4"/>
        <v>Jan-2024</v>
      </c>
      <c r="W298" s="16">
        <f>Table1[[#This Row],[Consultation Date]] - Table1[[#This Row],[Appointment Date]]</f>
        <v>-145.58333333333576</v>
      </c>
    </row>
    <row r="299" spans="1:23" x14ac:dyDescent="0.3">
      <c r="A299" t="s">
        <v>356</v>
      </c>
      <c r="B299">
        <v>33</v>
      </c>
      <c r="C299" t="s">
        <v>62</v>
      </c>
      <c r="D299" s="2">
        <v>45427</v>
      </c>
      <c r="E299" s="2">
        <v>45437</v>
      </c>
      <c r="F299">
        <v>10</v>
      </c>
      <c r="G299" t="s">
        <v>63</v>
      </c>
      <c r="H299">
        <v>5</v>
      </c>
      <c r="I299" t="s">
        <v>66</v>
      </c>
      <c r="J299">
        <v>22325</v>
      </c>
      <c r="K299" t="s">
        <v>25</v>
      </c>
      <c r="L299" t="s">
        <v>54</v>
      </c>
      <c r="M299" t="s">
        <v>27</v>
      </c>
      <c r="N299" s="2">
        <v>45425</v>
      </c>
      <c r="O299" s="2">
        <v>45425.5</v>
      </c>
      <c r="P299" t="s">
        <v>64</v>
      </c>
      <c r="Q299" t="s">
        <v>29</v>
      </c>
      <c r="R299" t="s">
        <v>43</v>
      </c>
      <c r="S299">
        <v>11</v>
      </c>
      <c r="T299">
        <v>12</v>
      </c>
      <c r="U299" t="s">
        <v>31</v>
      </c>
      <c r="V299" t="str">
        <f t="shared" si="4"/>
        <v>May-2024</v>
      </c>
      <c r="W299" s="16">
        <f>Table1[[#This Row],[Consultation Date]] - Table1[[#This Row],[Appointment Date]]</f>
        <v>0.5</v>
      </c>
    </row>
    <row r="300" spans="1:23" x14ac:dyDescent="0.3">
      <c r="A300" t="s">
        <v>357</v>
      </c>
      <c r="B300">
        <v>48</v>
      </c>
      <c r="C300" t="s">
        <v>22</v>
      </c>
      <c r="D300" s="2">
        <v>45184</v>
      </c>
      <c r="E300" s="2">
        <v>45195</v>
      </c>
      <c r="F300">
        <v>11</v>
      </c>
      <c r="G300" t="s">
        <v>57</v>
      </c>
      <c r="H300">
        <v>5</v>
      </c>
      <c r="I300" t="s">
        <v>66</v>
      </c>
      <c r="J300">
        <v>23680</v>
      </c>
      <c r="K300" t="s">
        <v>67</v>
      </c>
      <c r="L300" t="s">
        <v>54</v>
      </c>
      <c r="M300" t="s">
        <v>41</v>
      </c>
      <c r="N300" s="2">
        <v>45239</v>
      </c>
      <c r="O300" s="2">
        <v>45269.5</v>
      </c>
      <c r="P300" t="s">
        <v>64</v>
      </c>
      <c r="Q300" t="s">
        <v>29</v>
      </c>
      <c r="R300" t="s">
        <v>47</v>
      </c>
      <c r="S300">
        <v>7</v>
      </c>
      <c r="T300">
        <v>8</v>
      </c>
      <c r="U300" t="s">
        <v>31</v>
      </c>
      <c r="V300" t="str">
        <f t="shared" si="4"/>
        <v>Sep-2023</v>
      </c>
      <c r="W300" s="16">
        <f>Table1[[#This Row],[Consultation Date]] - Table1[[#This Row],[Appointment Date]]</f>
        <v>30.5</v>
      </c>
    </row>
    <row r="301" spans="1:23" x14ac:dyDescent="0.3">
      <c r="A301" t="s">
        <v>358</v>
      </c>
      <c r="B301">
        <v>76</v>
      </c>
      <c r="C301" t="s">
        <v>41</v>
      </c>
      <c r="D301" s="2">
        <v>44979</v>
      </c>
      <c r="E301" s="2">
        <v>44929</v>
      </c>
      <c r="F301">
        <v>7</v>
      </c>
      <c r="G301" t="s">
        <v>40</v>
      </c>
      <c r="H301">
        <v>2</v>
      </c>
      <c r="I301" t="s">
        <v>46</v>
      </c>
      <c r="J301">
        <v>22323</v>
      </c>
      <c r="K301" t="s">
        <v>36</v>
      </c>
      <c r="L301" t="s">
        <v>26</v>
      </c>
      <c r="M301" t="s">
        <v>27</v>
      </c>
      <c r="N301" s="2">
        <v>44977</v>
      </c>
      <c r="O301" s="2">
        <v>44977.458333333336</v>
      </c>
      <c r="P301" t="s">
        <v>55</v>
      </c>
      <c r="Q301" t="s">
        <v>29</v>
      </c>
      <c r="R301" t="s">
        <v>30</v>
      </c>
      <c r="S301">
        <v>4</v>
      </c>
      <c r="T301">
        <v>12</v>
      </c>
      <c r="U301" t="s">
        <v>31</v>
      </c>
      <c r="V301" t="str">
        <f t="shared" si="4"/>
        <v>Feb-2023</v>
      </c>
      <c r="W301" s="16">
        <f>Table1[[#This Row],[Consultation Date]] - Table1[[#This Row],[Appointment Date]]</f>
        <v>0.45833333333575865</v>
      </c>
    </row>
    <row r="302" spans="1:23" x14ac:dyDescent="0.3">
      <c r="A302" t="s">
        <v>359</v>
      </c>
      <c r="B302">
        <v>59</v>
      </c>
      <c r="C302" t="s">
        <v>33</v>
      </c>
      <c r="D302" s="2">
        <v>45050</v>
      </c>
      <c r="E302" s="2">
        <v>45111</v>
      </c>
      <c r="F302">
        <v>2</v>
      </c>
      <c r="G302" t="s">
        <v>40</v>
      </c>
      <c r="H302">
        <v>3</v>
      </c>
      <c r="I302" t="s">
        <v>71</v>
      </c>
      <c r="J302">
        <v>27684</v>
      </c>
      <c r="K302" t="s">
        <v>53</v>
      </c>
      <c r="L302" t="s">
        <v>54</v>
      </c>
      <c r="M302" t="s">
        <v>27</v>
      </c>
      <c r="N302" s="2">
        <v>45020</v>
      </c>
      <c r="O302" s="2">
        <v>45020.916666666664</v>
      </c>
      <c r="P302" t="s">
        <v>37</v>
      </c>
      <c r="Q302" t="s">
        <v>29</v>
      </c>
      <c r="R302" t="s">
        <v>47</v>
      </c>
      <c r="S302">
        <v>11</v>
      </c>
      <c r="T302">
        <v>12</v>
      </c>
      <c r="U302" t="s">
        <v>48</v>
      </c>
      <c r="V302" t="str">
        <f t="shared" si="4"/>
        <v>May-2023</v>
      </c>
      <c r="W302" s="16">
        <f>Table1[[#This Row],[Consultation Date]] - Table1[[#This Row],[Appointment Date]]</f>
        <v>0.91666666666424135</v>
      </c>
    </row>
    <row r="303" spans="1:23" x14ac:dyDescent="0.3">
      <c r="A303" t="s">
        <v>360</v>
      </c>
      <c r="B303">
        <v>86</v>
      </c>
      <c r="C303" t="s">
        <v>52</v>
      </c>
      <c r="D303" s="2">
        <v>45538</v>
      </c>
      <c r="E303" s="2">
        <v>45629</v>
      </c>
      <c r="F303">
        <v>3</v>
      </c>
      <c r="G303" t="s">
        <v>50</v>
      </c>
      <c r="H303">
        <v>4</v>
      </c>
      <c r="I303" t="s">
        <v>35</v>
      </c>
      <c r="J303">
        <v>39493</v>
      </c>
      <c r="K303" t="s">
        <v>60</v>
      </c>
      <c r="L303" t="s">
        <v>26</v>
      </c>
      <c r="M303" t="s">
        <v>27</v>
      </c>
      <c r="N303" s="2">
        <v>45446</v>
      </c>
      <c r="O303" s="2">
        <v>45476.5</v>
      </c>
      <c r="P303" t="s">
        <v>42</v>
      </c>
      <c r="Q303" t="s">
        <v>29</v>
      </c>
      <c r="R303" t="s">
        <v>47</v>
      </c>
      <c r="S303">
        <v>11</v>
      </c>
      <c r="T303">
        <v>8</v>
      </c>
      <c r="U303" t="s">
        <v>48</v>
      </c>
      <c r="V303" t="str">
        <f t="shared" si="4"/>
        <v>Sep-2024</v>
      </c>
      <c r="W303" s="16">
        <f>Table1[[#This Row],[Consultation Date]] - Table1[[#This Row],[Appointment Date]]</f>
        <v>30.5</v>
      </c>
    </row>
    <row r="304" spans="1:23" x14ac:dyDescent="0.3">
      <c r="A304" t="s">
        <v>361</v>
      </c>
      <c r="B304">
        <v>22</v>
      </c>
      <c r="C304" t="s">
        <v>52</v>
      </c>
      <c r="D304" s="2">
        <v>45240</v>
      </c>
      <c r="E304" s="2">
        <v>45222</v>
      </c>
      <c r="F304">
        <v>12</v>
      </c>
      <c r="G304" t="s">
        <v>50</v>
      </c>
      <c r="H304">
        <v>3</v>
      </c>
      <c r="I304" t="s">
        <v>46</v>
      </c>
      <c r="J304">
        <v>17213</v>
      </c>
      <c r="K304" t="s">
        <v>53</v>
      </c>
      <c r="L304" t="s">
        <v>54</v>
      </c>
      <c r="M304" t="s">
        <v>27</v>
      </c>
      <c r="N304" s="2">
        <v>45117</v>
      </c>
      <c r="O304" s="2">
        <v>45148.166666666664</v>
      </c>
      <c r="P304" t="s">
        <v>42</v>
      </c>
      <c r="Q304" t="s">
        <v>29</v>
      </c>
      <c r="R304" t="s">
        <v>30</v>
      </c>
      <c r="S304">
        <v>11</v>
      </c>
      <c r="T304">
        <v>10</v>
      </c>
      <c r="U304" t="s">
        <v>48</v>
      </c>
      <c r="V304" t="str">
        <f t="shared" si="4"/>
        <v>Nov-2023</v>
      </c>
      <c r="W304" s="16">
        <f>Table1[[#This Row],[Consultation Date]] - Table1[[#This Row],[Appointment Date]]</f>
        <v>31.166666666664241</v>
      </c>
    </row>
    <row r="305" spans="1:23" x14ac:dyDescent="0.3">
      <c r="A305" t="s">
        <v>362</v>
      </c>
      <c r="B305">
        <v>30</v>
      </c>
      <c r="C305" t="s">
        <v>62</v>
      </c>
      <c r="D305" s="2">
        <v>44972</v>
      </c>
      <c r="E305" s="2">
        <v>44983</v>
      </c>
      <c r="F305">
        <v>11</v>
      </c>
      <c r="G305" t="s">
        <v>40</v>
      </c>
      <c r="H305">
        <v>5</v>
      </c>
      <c r="I305" t="s">
        <v>46</v>
      </c>
      <c r="J305">
        <v>36831</v>
      </c>
      <c r="K305" t="s">
        <v>60</v>
      </c>
      <c r="L305" t="s">
        <v>54</v>
      </c>
      <c r="M305" t="s">
        <v>27</v>
      </c>
      <c r="N305" s="2">
        <v>45201</v>
      </c>
      <c r="O305" s="2">
        <v>45232.25</v>
      </c>
      <c r="P305" t="s">
        <v>37</v>
      </c>
      <c r="Q305" t="s">
        <v>29</v>
      </c>
      <c r="R305" t="s">
        <v>30</v>
      </c>
      <c r="S305">
        <v>8</v>
      </c>
      <c r="T305">
        <v>8</v>
      </c>
      <c r="U305" t="s">
        <v>48</v>
      </c>
      <c r="V305" t="str">
        <f t="shared" si="4"/>
        <v>Feb-2023</v>
      </c>
      <c r="W305" s="16">
        <f>Table1[[#This Row],[Consultation Date]] - Table1[[#This Row],[Appointment Date]]</f>
        <v>31.25</v>
      </c>
    </row>
    <row r="306" spans="1:23" x14ac:dyDescent="0.3">
      <c r="A306" t="s">
        <v>363</v>
      </c>
      <c r="B306">
        <v>38</v>
      </c>
      <c r="C306" t="s">
        <v>45</v>
      </c>
      <c r="D306" s="2">
        <v>45017</v>
      </c>
      <c r="E306" s="2">
        <v>45047</v>
      </c>
      <c r="F306">
        <v>1</v>
      </c>
      <c r="G306" t="s">
        <v>23</v>
      </c>
      <c r="H306">
        <v>4</v>
      </c>
      <c r="I306" t="s">
        <v>35</v>
      </c>
      <c r="J306">
        <v>47296</v>
      </c>
      <c r="K306" t="s">
        <v>36</v>
      </c>
      <c r="L306" t="s">
        <v>26</v>
      </c>
      <c r="M306" t="s">
        <v>27</v>
      </c>
      <c r="N306" s="2">
        <v>44958</v>
      </c>
      <c r="O306" s="2">
        <v>44958.625</v>
      </c>
      <c r="P306" t="s">
        <v>37</v>
      </c>
      <c r="Q306" t="s">
        <v>29</v>
      </c>
      <c r="R306" t="s">
        <v>43</v>
      </c>
      <c r="S306">
        <v>8</v>
      </c>
      <c r="T306">
        <v>8</v>
      </c>
      <c r="U306" t="s">
        <v>68</v>
      </c>
      <c r="V306" t="str">
        <f t="shared" si="4"/>
        <v>Apr-2023</v>
      </c>
      <c r="W306" s="16">
        <f>Table1[[#This Row],[Consultation Date]] - Table1[[#This Row],[Appointment Date]]</f>
        <v>0.625</v>
      </c>
    </row>
    <row r="307" spans="1:23" x14ac:dyDescent="0.3">
      <c r="A307" t="s">
        <v>364</v>
      </c>
      <c r="B307">
        <v>51</v>
      </c>
      <c r="C307" t="s">
        <v>41</v>
      </c>
      <c r="D307" s="2">
        <v>45150</v>
      </c>
      <c r="E307" s="2">
        <v>45211</v>
      </c>
      <c r="F307">
        <v>2</v>
      </c>
      <c r="G307" t="s">
        <v>57</v>
      </c>
      <c r="H307">
        <v>3</v>
      </c>
      <c r="I307" t="s">
        <v>35</v>
      </c>
      <c r="J307">
        <v>32713</v>
      </c>
      <c r="K307" t="s">
        <v>36</v>
      </c>
      <c r="L307" t="s">
        <v>54</v>
      </c>
      <c r="M307" t="s">
        <v>27</v>
      </c>
      <c r="N307" s="2">
        <v>45028</v>
      </c>
      <c r="O307" s="2">
        <v>45058.083333333336</v>
      </c>
      <c r="P307" t="s">
        <v>55</v>
      </c>
      <c r="Q307" t="s">
        <v>29</v>
      </c>
      <c r="R307" t="s">
        <v>30</v>
      </c>
      <c r="S307">
        <v>11</v>
      </c>
      <c r="T307">
        <v>8</v>
      </c>
      <c r="U307" t="s">
        <v>31</v>
      </c>
      <c r="V307" t="str">
        <f t="shared" si="4"/>
        <v>Aug-2023</v>
      </c>
      <c r="W307" s="16">
        <f>Table1[[#This Row],[Consultation Date]] - Table1[[#This Row],[Appointment Date]]</f>
        <v>30.083333333335759</v>
      </c>
    </row>
    <row r="308" spans="1:23" x14ac:dyDescent="0.3">
      <c r="A308" t="s">
        <v>365</v>
      </c>
      <c r="B308">
        <v>54</v>
      </c>
      <c r="C308" t="s">
        <v>62</v>
      </c>
      <c r="D308" s="2">
        <v>45060</v>
      </c>
      <c r="E308" s="2">
        <v>45072</v>
      </c>
      <c r="F308">
        <v>12</v>
      </c>
      <c r="G308" t="s">
        <v>40</v>
      </c>
      <c r="H308">
        <v>1</v>
      </c>
      <c r="I308" t="s">
        <v>66</v>
      </c>
      <c r="J308">
        <v>46621</v>
      </c>
      <c r="K308" t="s">
        <v>53</v>
      </c>
      <c r="L308" t="s">
        <v>26</v>
      </c>
      <c r="M308" t="s">
        <v>41</v>
      </c>
      <c r="N308" s="2">
        <v>45265</v>
      </c>
      <c r="O308" s="2">
        <v>45059.708333333336</v>
      </c>
      <c r="P308" t="s">
        <v>64</v>
      </c>
      <c r="Q308" t="s">
        <v>29</v>
      </c>
      <c r="R308" t="s">
        <v>47</v>
      </c>
      <c r="S308">
        <v>7</v>
      </c>
      <c r="T308">
        <v>12</v>
      </c>
      <c r="U308" t="s">
        <v>31</v>
      </c>
      <c r="V308" t="str">
        <f t="shared" si="4"/>
        <v>May-2023</v>
      </c>
      <c r="W308" s="16">
        <f>Table1[[#This Row],[Consultation Date]] - Table1[[#This Row],[Appointment Date]]</f>
        <v>-205.29166666666424</v>
      </c>
    </row>
    <row r="309" spans="1:23" x14ac:dyDescent="0.3">
      <c r="A309" t="s">
        <v>366</v>
      </c>
      <c r="B309">
        <v>8</v>
      </c>
      <c r="C309" t="s">
        <v>45</v>
      </c>
      <c r="D309" s="2">
        <v>45195</v>
      </c>
      <c r="E309" s="2">
        <v>45056</v>
      </c>
      <c r="F309">
        <v>9</v>
      </c>
      <c r="G309" t="s">
        <v>50</v>
      </c>
      <c r="H309">
        <v>2</v>
      </c>
      <c r="I309" t="s">
        <v>71</v>
      </c>
      <c r="J309">
        <v>12187</v>
      </c>
      <c r="K309" t="s">
        <v>60</v>
      </c>
      <c r="L309" t="s">
        <v>54</v>
      </c>
      <c r="M309" t="s">
        <v>27</v>
      </c>
      <c r="N309" s="2">
        <v>45191</v>
      </c>
      <c r="O309" s="2">
        <v>45191.5</v>
      </c>
      <c r="P309" t="s">
        <v>37</v>
      </c>
      <c r="Q309" t="s">
        <v>29</v>
      </c>
      <c r="R309" t="s">
        <v>47</v>
      </c>
      <c r="S309">
        <v>8</v>
      </c>
      <c r="T309">
        <v>8</v>
      </c>
      <c r="U309" t="s">
        <v>31</v>
      </c>
      <c r="V309" t="str">
        <f t="shared" si="4"/>
        <v>Sep-2023</v>
      </c>
      <c r="W309" s="16">
        <f>Table1[[#This Row],[Consultation Date]] - Table1[[#This Row],[Appointment Date]]</f>
        <v>0.5</v>
      </c>
    </row>
    <row r="310" spans="1:23" x14ac:dyDescent="0.3">
      <c r="A310" t="s">
        <v>367</v>
      </c>
      <c r="B310">
        <v>27</v>
      </c>
      <c r="C310" t="s">
        <v>22</v>
      </c>
      <c r="D310" s="2">
        <v>45092</v>
      </c>
      <c r="E310" s="2">
        <v>45096</v>
      </c>
      <c r="F310">
        <v>4</v>
      </c>
      <c r="G310" t="s">
        <v>40</v>
      </c>
      <c r="H310">
        <v>3</v>
      </c>
      <c r="I310" t="s">
        <v>71</v>
      </c>
      <c r="J310">
        <v>37800</v>
      </c>
      <c r="K310" t="s">
        <v>36</v>
      </c>
      <c r="L310" t="s">
        <v>54</v>
      </c>
      <c r="M310" t="s">
        <v>27</v>
      </c>
      <c r="N310" s="2">
        <v>45236</v>
      </c>
      <c r="O310" s="2">
        <v>45236.5</v>
      </c>
      <c r="P310" t="s">
        <v>64</v>
      </c>
      <c r="Q310" t="s">
        <v>29</v>
      </c>
      <c r="R310" t="s">
        <v>30</v>
      </c>
      <c r="S310">
        <v>10</v>
      </c>
      <c r="T310">
        <v>8</v>
      </c>
      <c r="U310" t="s">
        <v>68</v>
      </c>
      <c r="V310" t="str">
        <f t="shared" si="4"/>
        <v>Jun-2023</v>
      </c>
      <c r="W310" s="16">
        <f>Table1[[#This Row],[Consultation Date]] - Table1[[#This Row],[Appointment Date]]</f>
        <v>0.5</v>
      </c>
    </row>
    <row r="311" spans="1:23" x14ac:dyDescent="0.3">
      <c r="A311" t="s">
        <v>368</v>
      </c>
      <c r="B311">
        <v>27</v>
      </c>
      <c r="C311" t="s">
        <v>41</v>
      </c>
      <c r="D311" s="2">
        <v>45379</v>
      </c>
      <c r="E311" s="2">
        <v>45386</v>
      </c>
      <c r="F311">
        <v>7</v>
      </c>
      <c r="G311" t="s">
        <v>23</v>
      </c>
      <c r="H311">
        <v>3</v>
      </c>
      <c r="I311" t="s">
        <v>35</v>
      </c>
      <c r="J311">
        <v>37583</v>
      </c>
      <c r="K311" t="s">
        <v>67</v>
      </c>
      <c r="L311" t="s">
        <v>26</v>
      </c>
      <c r="M311" t="s">
        <v>27</v>
      </c>
      <c r="N311" s="2">
        <v>45375</v>
      </c>
      <c r="O311" s="2">
        <v>45376.708333333336</v>
      </c>
      <c r="P311" t="s">
        <v>28</v>
      </c>
      <c r="Q311" t="s">
        <v>29</v>
      </c>
      <c r="R311" t="s">
        <v>43</v>
      </c>
      <c r="S311">
        <v>7</v>
      </c>
      <c r="T311">
        <v>8</v>
      </c>
      <c r="U311" t="s">
        <v>48</v>
      </c>
      <c r="V311" t="str">
        <f t="shared" si="4"/>
        <v>Mar-2024</v>
      </c>
      <c r="W311" s="16">
        <f>Table1[[#This Row],[Consultation Date]] - Table1[[#This Row],[Appointment Date]]</f>
        <v>1.7083333333357587</v>
      </c>
    </row>
    <row r="312" spans="1:23" x14ac:dyDescent="0.3">
      <c r="A312" t="s">
        <v>369</v>
      </c>
      <c r="B312">
        <v>21</v>
      </c>
      <c r="C312" t="s">
        <v>22</v>
      </c>
      <c r="D312" s="2">
        <v>45364</v>
      </c>
      <c r="E312" s="2">
        <v>45371</v>
      </c>
      <c r="F312">
        <v>7</v>
      </c>
      <c r="G312" t="s">
        <v>40</v>
      </c>
      <c r="H312">
        <v>1</v>
      </c>
      <c r="I312" t="s">
        <v>24</v>
      </c>
      <c r="J312">
        <v>19408</v>
      </c>
      <c r="K312" t="s">
        <v>67</v>
      </c>
      <c r="L312" t="s">
        <v>26</v>
      </c>
      <c r="M312" t="s">
        <v>41</v>
      </c>
      <c r="N312" s="2">
        <v>45568</v>
      </c>
      <c r="O312" s="2">
        <v>45599.791666666664</v>
      </c>
      <c r="P312" t="s">
        <v>42</v>
      </c>
      <c r="Q312" t="s">
        <v>29</v>
      </c>
      <c r="R312" t="s">
        <v>47</v>
      </c>
      <c r="S312">
        <v>6</v>
      </c>
      <c r="T312">
        <v>10</v>
      </c>
      <c r="U312" t="s">
        <v>31</v>
      </c>
      <c r="V312" t="str">
        <f t="shared" si="4"/>
        <v>Mar-2024</v>
      </c>
      <c r="W312" s="16">
        <f>Table1[[#This Row],[Consultation Date]] - Table1[[#This Row],[Appointment Date]]</f>
        <v>31.791666666664241</v>
      </c>
    </row>
    <row r="313" spans="1:23" x14ac:dyDescent="0.3">
      <c r="A313" t="s">
        <v>370</v>
      </c>
      <c r="B313">
        <v>30</v>
      </c>
      <c r="C313" t="s">
        <v>33</v>
      </c>
      <c r="D313" s="2">
        <v>45200</v>
      </c>
      <c r="E313" s="2">
        <v>44944</v>
      </c>
      <c r="F313">
        <v>8</v>
      </c>
      <c r="G313" t="s">
        <v>57</v>
      </c>
      <c r="H313">
        <v>5</v>
      </c>
      <c r="I313" t="s">
        <v>46</v>
      </c>
      <c r="J313">
        <v>27369</v>
      </c>
      <c r="K313" t="s">
        <v>60</v>
      </c>
      <c r="L313" t="s">
        <v>54</v>
      </c>
      <c r="M313" t="s">
        <v>27</v>
      </c>
      <c r="N313" s="2">
        <v>45047</v>
      </c>
      <c r="O313" s="2">
        <v>45078.166666666664</v>
      </c>
      <c r="P313" t="s">
        <v>55</v>
      </c>
      <c r="Q313" t="s">
        <v>29</v>
      </c>
      <c r="R313" t="s">
        <v>30</v>
      </c>
      <c r="S313">
        <v>8</v>
      </c>
      <c r="T313">
        <v>10</v>
      </c>
      <c r="U313" t="s">
        <v>48</v>
      </c>
      <c r="V313" t="str">
        <f t="shared" si="4"/>
        <v>Oct-2023</v>
      </c>
      <c r="W313" s="16">
        <f>Table1[[#This Row],[Consultation Date]] - Table1[[#This Row],[Appointment Date]]</f>
        <v>31.166666666664241</v>
      </c>
    </row>
    <row r="314" spans="1:23" x14ac:dyDescent="0.3">
      <c r="A314" t="s">
        <v>371</v>
      </c>
      <c r="B314">
        <v>28</v>
      </c>
      <c r="C314" t="s">
        <v>41</v>
      </c>
      <c r="D314" s="2">
        <v>45041</v>
      </c>
      <c r="E314" s="2">
        <v>44931</v>
      </c>
      <c r="F314">
        <v>6</v>
      </c>
      <c r="G314" t="s">
        <v>63</v>
      </c>
      <c r="H314">
        <v>2</v>
      </c>
      <c r="I314" t="s">
        <v>46</v>
      </c>
      <c r="J314">
        <v>8414</v>
      </c>
      <c r="K314" t="s">
        <v>53</v>
      </c>
      <c r="L314" t="s">
        <v>54</v>
      </c>
      <c r="M314" t="s">
        <v>27</v>
      </c>
      <c r="N314" s="2">
        <v>45037</v>
      </c>
      <c r="O314" s="2">
        <v>45038.083333333336</v>
      </c>
      <c r="P314" t="s">
        <v>42</v>
      </c>
      <c r="Q314" t="s">
        <v>29</v>
      </c>
      <c r="R314" t="s">
        <v>43</v>
      </c>
      <c r="S314">
        <v>7</v>
      </c>
      <c r="T314">
        <v>10</v>
      </c>
      <c r="U314" t="s">
        <v>48</v>
      </c>
      <c r="V314" t="str">
        <f t="shared" si="4"/>
        <v>Apr-2023</v>
      </c>
      <c r="W314" s="16">
        <f>Table1[[#This Row],[Consultation Date]] - Table1[[#This Row],[Appointment Date]]</f>
        <v>1.0833333333357587</v>
      </c>
    </row>
    <row r="315" spans="1:23" x14ac:dyDescent="0.3">
      <c r="A315" t="s">
        <v>372</v>
      </c>
      <c r="B315">
        <v>64</v>
      </c>
      <c r="C315" t="s">
        <v>45</v>
      </c>
      <c r="D315" s="2">
        <v>45004</v>
      </c>
      <c r="E315" s="2">
        <v>45007</v>
      </c>
      <c r="F315">
        <v>3</v>
      </c>
      <c r="G315" t="s">
        <v>23</v>
      </c>
      <c r="H315">
        <v>3</v>
      </c>
      <c r="I315" t="s">
        <v>35</v>
      </c>
      <c r="J315">
        <v>24510</v>
      </c>
      <c r="K315" t="s">
        <v>36</v>
      </c>
      <c r="L315" t="s">
        <v>26</v>
      </c>
      <c r="M315" t="s">
        <v>27</v>
      </c>
      <c r="N315" s="2">
        <v>45002</v>
      </c>
      <c r="O315" s="2">
        <v>45002.083333333336</v>
      </c>
      <c r="P315" t="s">
        <v>55</v>
      </c>
      <c r="Q315" t="s">
        <v>29</v>
      </c>
      <c r="R315" t="s">
        <v>43</v>
      </c>
      <c r="S315">
        <v>6</v>
      </c>
      <c r="T315">
        <v>10</v>
      </c>
      <c r="U315" t="s">
        <v>68</v>
      </c>
      <c r="V315" t="str">
        <f t="shared" si="4"/>
        <v>Mar-2023</v>
      </c>
      <c r="W315" s="16">
        <f>Table1[[#This Row],[Consultation Date]] - Table1[[#This Row],[Appointment Date]]</f>
        <v>8.3333333335758653E-2</v>
      </c>
    </row>
    <row r="316" spans="1:23" x14ac:dyDescent="0.3">
      <c r="A316" t="s">
        <v>373</v>
      </c>
      <c r="B316">
        <v>69</v>
      </c>
      <c r="C316" t="s">
        <v>33</v>
      </c>
      <c r="D316" s="2">
        <v>44963</v>
      </c>
      <c r="E316" s="2">
        <v>45144</v>
      </c>
      <c r="F316">
        <v>6</v>
      </c>
      <c r="G316" t="s">
        <v>50</v>
      </c>
      <c r="H316">
        <v>4</v>
      </c>
      <c r="I316" t="s">
        <v>24</v>
      </c>
      <c r="J316">
        <v>17120</v>
      </c>
      <c r="K316" t="s">
        <v>53</v>
      </c>
      <c r="L316" t="s">
        <v>54</v>
      </c>
      <c r="M316" t="s">
        <v>27</v>
      </c>
      <c r="N316" s="2">
        <v>45076</v>
      </c>
      <c r="O316" s="2">
        <v>44932</v>
      </c>
      <c r="P316" t="s">
        <v>28</v>
      </c>
      <c r="Q316" t="s">
        <v>29</v>
      </c>
      <c r="R316" t="s">
        <v>47</v>
      </c>
      <c r="S316">
        <v>8</v>
      </c>
      <c r="T316">
        <v>12</v>
      </c>
      <c r="U316" t="s">
        <v>68</v>
      </c>
      <c r="V316" t="str">
        <f t="shared" si="4"/>
        <v>Feb-2023</v>
      </c>
      <c r="W316" s="16">
        <f>Table1[[#This Row],[Consultation Date]] - Table1[[#This Row],[Appointment Date]]</f>
        <v>-144</v>
      </c>
    </row>
    <row r="317" spans="1:23" x14ac:dyDescent="0.3">
      <c r="A317" t="s">
        <v>374</v>
      </c>
      <c r="B317">
        <v>61</v>
      </c>
      <c r="C317" t="s">
        <v>52</v>
      </c>
      <c r="D317" s="2">
        <v>45079</v>
      </c>
      <c r="E317" s="2">
        <v>45232</v>
      </c>
      <c r="F317">
        <v>5</v>
      </c>
      <c r="G317" t="s">
        <v>57</v>
      </c>
      <c r="H317">
        <v>3</v>
      </c>
      <c r="I317" t="s">
        <v>66</v>
      </c>
      <c r="J317">
        <v>39311</v>
      </c>
      <c r="K317" t="s">
        <v>67</v>
      </c>
      <c r="L317" t="s">
        <v>26</v>
      </c>
      <c r="M317" t="s">
        <v>27</v>
      </c>
      <c r="N317" s="2">
        <v>45079</v>
      </c>
      <c r="O317" s="2">
        <v>45109.666666666664</v>
      </c>
      <c r="P317" t="s">
        <v>42</v>
      </c>
      <c r="Q317" t="s">
        <v>29</v>
      </c>
      <c r="R317" t="s">
        <v>47</v>
      </c>
      <c r="S317">
        <v>6</v>
      </c>
      <c r="T317">
        <v>12</v>
      </c>
      <c r="U317" t="s">
        <v>48</v>
      </c>
      <c r="V317" t="str">
        <f t="shared" si="4"/>
        <v>Jun-2023</v>
      </c>
      <c r="W317" s="16">
        <f>Table1[[#This Row],[Consultation Date]] - Table1[[#This Row],[Appointment Date]]</f>
        <v>30.666666666664241</v>
      </c>
    </row>
    <row r="318" spans="1:23" x14ac:dyDescent="0.3">
      <c r="A318" t="s">
        <v>375</v>
      </c>
      <c r="B318">
        <v>48</v>
      </c>
      <c r="C318" t="s">
        <v>45</v>
      </c>
      <c r="D318" s="2">
        <v>45305</v>
      </c>
      <c r="E318" s="2">
        <v>45317</v>
      </c>
      <c r="F318">
        <v>12</v>
      </c>
      <c r="G318" t="s">
        <v>40</v>
      </c>
      <c r="H318">
        <v>2</v>
      </c>
      <c r="I318" t="s">
        <v>35</v>
      </c>
      <c r="J318">
        <v>38039</v>
      </c>
      <c r="K318" t="s">
        <v>36</v>
      </c>
      <c r="L318" t="s">
        <v>54</v>
      </c>
      <c r="M318" t="s">
        <v>27</v>
      </c>
      <c r="N318" s="2">
        <v>45627</v>
      </c>
      <c r="O318" s="2">
        <v>45627.541666666664</v>
      </c>
      <c r="P318" t="s">
        <v>28</v>
      </c>
      <c r="Q318" t="s">
        <v>29</v>
      </c>
      <c r="R318" t="s">
        <v>43</v>
      </c>
      <c r="S318">
        <v>9</v>
      </c>
      <c r="T318">
        <v>8</v>
      </c>
      <c r="U318" t="s">
        <v>31</v>
      </c>
      <c r="V318" t="str">
        <f t="shared" si="4"/>
        <v>Jan-2024</v>
      </c>
      <c r="W318" s="16">
        <f>Table1[[#This Row],[Consultation Date]] - Table1[[#This Row],[Appointment Date]]</f>
        <v>0.54166666666424135</v>
      </c>
    </row>
    <row r="319" spans="1:23" x14ac:dyDescent="0.3">
      <c r="A319" t="s">
        <v>376</v>
      </c>
      <c r="B319">
        <v>19</v>
      </c>
      <c r="C319" t="s">
        <v>62</v>
      </c>
      <c r="D319" s="2">
        <v>44932</v>
      </c>
      <c r="E319" s="2">
        <v>45113</v>
      </c>
      <c r="F319">
        <v>6</v>
      </c>
      <c r="G319" t="s">
        <v>40</v>
      </c>
      <c r="H319">
        <v>3</v>
      </c>
      <c r="I319" t="s">
        <v>35</v>
      </c>
      <c r="J319">
        <v>10295</v>
      </c>
      <c r="K319" t="s">
        <v>53</v>
      </c>
      <c r="L319" t="s">
        <v>54</v>
      </c>
      <c r="M319" t="s">
        <v>27</v>
      </c>
      <c r="N319" s="2">
        <v>45076</v>
      </c>
      <c r="O319" s="2">
        <v>45077.208333333336</v>
      </c>
      <c r="P319" t="s">
        <v>55</v>
      </c>
      <c r="Q319" t="s">
        <v>29</v>
      </c>
      <c r="R319" t="s">
        <v>43</v>
      </c>
      <c r="S319">
        <v>8</v>
      </c>
      <c r="T319">
        <v>12</v>
      </c>
      <c r="U319" t="s">
        <v>31</v>
      </c>
      <c r="V319" t="str">
        <f t="shared" si="4"/>
        <v>Jan-2023</v>
      </c>
      <c r="W319" s="16">
        <f>Table1[[#This Row],[Consultation Date]] - Table1[[#This Row],[Appointment Date]]</f>
        <v>1.2083333333357587</v>
      </c>
    </row>
    <row r="320" spans="1:23" x14ac:dyDescent="0.3">
      <c r="A320" t="s">
        <v>377</v>
      </c>
      <c r="B320">
        <v>4</v>
      </c>
      <c r="C320" t="s">
        <v>52</v>
      </c>
      <c r="D320" s="2">
        <v>45367</v>
      </c>
      <c r="E320" s="2">
        <v>45380</v>
      </c>
      <c r="F320">
        <v>13</v>
      </c>
      <c r="G320" t="s">
        <v>63</v>
      </c>
      <c r="H320">
        <v>1</v>
      </c>
      <c r="I320" t="s">
        <v>46</v>
      </c>
      <c r="J320">
        <v>25460</v>
      </c>
      <c r="K320" t="s">
        <v>25</v>
      </c>
      <c r="L320" t="s">
        <v>26</v>
      </c>
      <c r="M320" t="s">
        <v>27</v>
      </c>
      <c r="N320" s="2">
        <v>45599</v>
      </c>
      <c r="O320" s="2">
        <v>45629.583333333336</v>
      </c>
      <c r="P320" t="s">
        <v>37</v>
      </c>
      <c r="Q320" t="s">
        <v>29</v>
      </c>
      <c r="R320" t="s">
        <v>43</v>
      </c>
      <c r="S320">
        <v>9</v>
      </c>
      <c r="T320">
        <v>10</v>
      </c>
      <c r="U320" t="s">
        <v>68</v>
      </c>
      <c r="V320" t="str">
        <f t="shared" si="4"/>
        <v>Mar-2024</v>
      </c>
      <c r="W320" s="16">
        <f>Table1[[#This Row],[Consultation Date]] - Table1[[#This Row],[Appointment Date]]</f>
        <v>30.583333333335759</v>
      </c>
    </row>
    <row r="321" spans="1:23" x14ac:dyDescent="0.3">
      <c r="A321" t="s">
        <v>378</v>
      </c>
      <c r="B321">
        <v>35</v>
      </c>
      <c r="C321" t="s">
        <v>52</v>
      </c>
      <c r="D321" s="2">
        <v>45235</v>
      </c>
      <c r="E321" s="2">
        <v>45067</v>
      </c>
      <c r="F321">
        <v>10</v>
      </c>
      <c r="G321" t="s">
        <v>50</v>
      </c>
      <c r="H321">
        <v>3</v>
      </c>
      <c r="I321" t="s">
        <v>35</v>
      </c>
      <c r="J321">
        <v>19963</v>
      </c>
      <c r="K321" t="s">
        <v>60</v>
      </c>
      <c r="L321" t="s">
        <v>54</v>
      </c>
      <c r="M321" t="s">
        <v>41</v>
      </c>
      <c r="N321" s="2">
        <v>45235</v>
      </c>
      <c r="O321" s="2">
        <v>45265.166666666664</v>
      </c>
      <c r="P321" t="s">
        <v>42</v>
      </c>
      <c r="Q321" t="s">
        <v>38</v>
      </c>
      <c r="R321" t="s">
        <v>30</v>
      </c>
      <c r="S321">
        <v>4</v>
      </c>
      <c r="T321">
        <v>8</v>
      </c>
      <c r="U321" t="s">
        <v>68</v>
      </c>
      <c r="V321" t="str">
        <f t="shared" si="4"/>
        <v>Nov-2023</v>
      </c>
      <c r="W321" s="16">
        <f>Table1[[#This Row],[Consultation Date]] - Table1[[#This Row],[Appointment Date]]</f>
        <v>30.166666666664241</v>
      </c>
    </row>
    <row r="322" spans="1:23" x14ac:dyDescent="0.3">
      <c r="A322" t="s">
        <v>379</v>
      </c>
      <c r="B322">
        <v>64</v>
      </c>
      <c r="C322" t="s">
        <v>62</v>
      </c>
      <c r="D322" s="2">
        <v>45262</v>
      </c>
      <c r="E322" s="2">
        <v>44979</v>
      </c>
      <c r="F322">
        <v>10</v>
      </c>
      <c r="G322" t="s">
        <v>50</v>
      </c>
      <c r="H322">
        <v>3</v>
      </c>
      <c r="I322" t="s">
        <v>35</v>
      </c>
      <c r="J322">
        <v>16580</v>
      </c>
      <c r="K322" t="s">
        <v>60</v>
      </c>
      <c r="L322" t="s">
        <v>54</v>
      </c>
      <c r="M322" t="s">
        <v>27</v>
      </c>
      <c r="N322" s="2">
        <v>45171</v>
      </c>
      <c r="O322" s="2">
        <v>45201.041666666664</v>
      </c>
      <c r="P322" t="s">
        <v>28</v>
      </c>
      <c r="Q322" t="s">
        <v>29</v>
      </c>
      <c r="R322" t="s">
        <v>47</v>
      </c>
      <c r="S322">
        <v>4</v>
      </c>
      <c r="T322">
        <v>8</v>
      </c>
      <c r="U322" t="s">
        <v>68</v>
      </c>
      <c r="V322" t="str">
        <f t="shared" ref="V322:V385" si="5">TEXT(D322,"mmm-yyyy")</f>
        <v>Dec-2023</v>
      </c>
      <c r="W322" s="16">
        <f>Table1[[#This Row],[Consultation Date]] - Table1[[#This Row],[Appointment Date]]</f>
        <v>30.041666666664241</v>
      </c>
    </row>
    <row r="323" spans="1:23" x14ac:dyDescent="0.3">
      <c r="A323" t="s">
        <v>380</v>
      </c>
      <c r="B323">
        <v>49</v>
      </c>
      <c r="C323" t="s">
        <v>41</v>
      </c>
      <c r="D323" s="2">
        <v>45271</v>
      </c>
      <c r="E323" s="2">
        <v>45244</v>
      </c>
      <c r="F323">
        <v>2</v>
      </c>
      <c r="G323" t="s">
        <v>34</v>
      </c>
      <c r="H323">
        <v>4</v>
      </c>
      <c r="I323" t="s">
        <v>35</v>
      </c>
      <c r="J323">
        <v>27286</v>
      </c>
      <c r="K323" t="s">
        <v>25</v>
      </c>
      <c r="L323" t="s">
        <v>26</v>
      </c>
      <c r="M323" t="s">
        <v>27</v>
      </c>
      <c r="N323" s="2">
        <v>45149</v>
      </c>
      <c r="O323" s="2">
        <v>45149.041666666664</v>
      </c>
      <c r="P323" t="s">
        <v>42</v>
      </c>
      <c r="Q323" t="s">
        <v>38</v>
      </c>
      <c r="R323" t="s">
        <v>43</v>
      </c>
      <c r="S323">
        <v>7</v>
      </c>
      <c r="T323">
        <v>10</v>
      </c>
      <c r="U323" t="s">
        <v>68</v>
      </c>
      <c r="V323" t="str">
        <f t="shared" si="5"/>
        <v>Dec-2023</v>
      </c>
      <c r="W323" s="16">
        <f>Table1[[#This Row],[Consultation Date]] - Table1[[#This Row],[Appointment Date]]</f>
        <v>4.1666666664241347E-2</v>
      </c>
    </row>
    <row r="324" spans="1:23" x14ac:dyDescent="0.3">
      <c r="A324" t="s">
        <v>381</v>
      </c>
      <c r="B324">
        <v>17</v>
      </c>
      <c r="C324" t="s">
        <v>52</v>
      </c>
      <c r="D324" s="2">
        <v>45536</v>
      </c>
      <c r="E324" s="2">
        <v>45315</v>
      </c>
      <c r="F324">
        <v>15</v>
      </c>
      <c r="G324" t="s">
        <v>50</v>
      </c>
      <c r="H324">
        <v>1</v>
      </c>
      <c r="I324" t="s">
        <v>46</v>
      </c>
      <c r="J324">
        <v>32328</v>
      </c>
      <c r="K324" t="s">
        <v>67</v>
      </c>
      <c r="L324" t="s">
        <v>54</v>
      </c>
      <c r="M324" t="s">
        <v>27</v>
      </c>
      <c r="N324" s="2">
        <v>45474</v>
      </c>
      <c r="O324" s="2">
        <v>45505.916666666664</v>
      </c>
      <c r="P324" t="s">
        <v>42</v>
      </c>
      <c r="Q324" t="s">
        <v>29</v>
      </c>
      <c r="R324" t="s">
        <v>47</v>
      </c>
      <c r="S324">
        <v>5</v>
      </c>
      <c r="T324">
        <v>10</v>
      </c>
      <c r="U324" t="s">
        <v>68</v>
      </c>
      <c r="V324" t="str">
        <f t="shared" si="5"/>
        <v>Sep-2024</v>
      </c>
      <c r="W324" s="16">
        <f>Table1[[#This Row],[Consultation Date]] - Table1[[#This Row],[Appointment Date]]</f>
        <v>31.916666666664241</v>
      </c>
    </row>
    <row r="325" spans="1:23" x14ac:dyDescent="0.3">
      <c r="A325" t="s">
        <v>382</v>
      </c>
      <c r="B325">
        <v>44</v>
      </c>
      <c r="C325" t="s">
        <v>45</v>
      </c>
      <c r="D325" s="2">
        <v>45201</v>
      </c>
      <c r="E325" s="2">
        <v>45232</v>
      </c>
      <c r="F325">
        <v>1</v>
      </c>
      <c r="G325" t="s">
        <v>63</v>
      </c>
      <c r="H325">
        <v>1</v>
      </c>
      <c r="I325" t="s">
        <v>66</v>
      </c>
      <c r="J325">
        <v>24093</v>
      </c>
      <c r="K325" t="s">
        <v>36</v>
      </c>
      <c r="L325" t="s">
        <v>54</v>
      </c>
      <c r="M325" t="s">
        <v>41</v>
      </c>
      <c r="N325" s="2">
        <v>45048</v>
      </c>
      <c r="O325" s="2">
        <v>45048.583333333336</v>
      </c>
      <c r="P325" t="s">
        <v>42</v>
      </c>
      <c r="Q325" t="s">
        <v>29</v>
      </c>
      <c r="R325" t="s">
        <v>47</v>
      </c>
      <c r="S325">
        <v>9</v>
      </c>
      <c r="T325">
        <v>10</v>
      </c>
      <c r="U325" t="s">
        <v>68</v>
      </c>
      <c r="V325" t="str">
        <f t="shared" si="5"/>
        <v>Oct-2023</v>
      </c>
      <c r="W325" s="16">
        <f>Table1[[#This Row],[Consultation Date]] - Table1[[#This Row],[Appointment Date]]</f>
        <v>0.58333333333575865</v>
      </c>
    </row>
    <row r="326" spans="1:23" x14ac:dyDescent="0.3">
      <c r="A326" t="s">
        <v>383</v>
      </c>
      <c r="B326">
        <v>30</v>
      </c>
      <c r="C326" t="s">
        <v>33</v>
      </c>
      <c r="D326" s="2">
        <v>45323</v>
      </c>
      <c r="E326" s="2">
        <v>45413</v>
      </c>
      <c r="F326">
        <v>3</v>
      </c>
      <c r="G326" t="s">
        <v>34</v>
      </c>
      <c r="H326">
        <v>3</v>
      </c>
      <c r="I326" t="s">
        <v>66</v>
      </c>
      <c r="J326">
        <v>26605</v>
      </c>
      <c r="K326" t="s">
        <v>60</v>
      </c>
      <c r="L326" t="s">
        <v>54</v>
      </c>
      <c r="M326" t="s">
        <v>27</v>
      </c>
      <c r="N326" s="2">
        <v>45288</v>
      </c>
      <c r="O326" s="2">
        <v>45288.583333333336</v>
      </c>
      <c r="P326" t="s">
        <v>64</v>
      </c>
      <c r="Q326" t="s">
        <v>38</v>
      </c>
      <c r="R326" t="s">
        <v>47</v>
      </c>
      <c r="S326">
        <v>9</v>
      </c>
      <c r="T326">
        <v>12</v>
      </c>
      <c r="U326" t="s">
        <v>68</v>
      </c>
      <c r="V326" t="str">
        <f t="shared" si="5"/>
        <v>Feb-2024</v>
      </c>
      <c r="W326" s="16">
        <f>Table1[[#This Row],[Consultation Date]] - Table1[[#This Row],[Appointment Date]]</f>
        <v>0.58333333333575865</v>
      </c>
    </row>
    <row r="327" spans="1:23" x14ac:dyDescent="0.3">
      <c r="A327" t="s">
        <v>384</v>
      </c>
      <c r="B327">
        <v>46</v>
      </c>
      <c r="C327" t="s">
        <v>52</v>
      </c>
      <c r="D327" s="2">
        <v>45024</v>
      </c>
      <c r="E327" s="2">
        <v>45115</v>
      </c>
      <c r="F327">
        <v>3</v>
      </c>
      <c r="G327" t="s">
        <v>34</v>
      </c>
      <c r="H327">
        <v>4</v>
      </c>
      <c r="I327" t="s">
        <v>35</v>
      </c>
      <c r="J327">
        <v>49813</v>
      </c>
      <c r="K327" t="s">
        <v>25</v>
      </c>
      <c r="L327" t="s">
        <v>54</v>
      </c>
      <c r="M327" t="s">
        <v>41</v>
      </c>
      <c r="N327" s="2">
        <v>45137</v>
      </c>
      <c r="O327" s="2">
        <v>45137.75</v>
      </c>
      <c r="P327" t="s">
        <v>28</v>
      </c>
      <c r="Q327" t="s">
        <v>29</v>
      </c>
      <c r="R327" t="s">
        <v>43</v>
      </c>
      <c r="S327">
        <v>4</v>
      </c>
      <c r="T327">
        <v>8</v>
      </c>
      <c r="U327" t="s">
        <v>31</v>
      </c>
      <c r="V327" t="str">
        <f t="shared" si="5"/>
        <v>Apr-2023</v>
      </c>
      <c r="W327" s="16">
        <f>Table1[[#This Row],[Consultation Date]] - Table1[[#This Row],[Appointment Date]]</f>
        <v>0.75</v>
      </c>
    </row>
    <row r="328" spans="1:23" x14ac:dyDescent="0.3">
      <c r="A328" t="s">
        <v>385</v>
      </c>
      <c r="B328">
        <v>6</v>
      </c>
      <c r="C328" t="s">
        <v>45</v>
      </c>
      <c r="D328" s="2">
        <v>45182</v>
      </c>
      <c r="E328" s="2">
        <v>45195</v>
      </c>
      <c r="F328">
        <v>13</v>
      </c>
      <c r="G328" t="s">
        <v>40</v>
      </c>
      <c r="H328">
        <v>3</v>
      </c>
      <c r="I328" t="s">
        <v>46</v>
      </c>
      <c r="J328">
        <v>47705</v>
      </c>
      <c r="K328" t="s">
        <v>25</v>
      </c>
      <c r="L328" t="s">
        <v>54</v>
      </c>
      <c r="M328" t="s">
        <v>41</v>
      </c>
      <c r="N328" s="2">
        <v>45182</v>
      </c>
      <c r="O328" s="2">
        <v>45183.916666666664</v>
      </c>
      <c r="P328" t="s">
        <v>28</v>
      </c>
      <c r="Q328" t="s">
        <v>29</v>
      </c>
      <c r="R328" t="s">
        <v>30</v>
      </c>
      <c r="S328">
        <v>9</v>
      </c>
      <c r="T328">
        <v>10</v>
      </c>
      <c r="U328" t="s">
        <v>68</v>
      </c>
      <c r="V328" t="str">
        <f t="shared" si="5"/>
        <v>Sep-2023</v>
      </c>
      <c r="W328" s="16">
        <f>Table1[[#This Row],[Consultation Date]] - Table1[[#This Row],[Appointment Date]]</f>
        <v>1.9166666666642413</v>
      </c>
    </row>
    <row r="329" spans="1:23" x14ac:dyDescent="0.3">
      <c r="A329" t="s">
        <v>386</v>
      </c>
      <c r="B329">
        <v>37</v>
      </c>
      <c r="C329" t="s">
        <v>22</v>
      </c>
      <c r="D329" s="2">
        <v>45032</v>
      </c>
      <c r="E329" s="2">
        <v>45042</v>
      </c>
      <c r="F329">
        <v>10</v>
      </c>
      <c r="G329" t="s">
        <v>40</v>
      </c>
      <c r="H329">
        <v>3</v>
      </c>
      <c r="I329" t="s">
        <v>66</v>
      </c>
      <c r="J329">
        <v>11722</v>
      </c>
      <c r="K329" t="s">
        <v>67</v>
      </c>
      <c r="L329" t="s">
        <v>54</v>
      </c>
      <c r="M329" t="s">
        <v>27</v>
      </c>
      <c r="N329" s="2">
        <v>45264</v>
      </c>
      <c r="O329" s="2">
        <v>45264.208333333336</v>
      </c>
      <c r="P329" t="s">
        <v>42</v>
      </c>
      <c r="Q329" t="s">
        <v>29</v>
      </c>
      <c r="R329" t="s">
        <v>43</v>
      </c>
      <c r="S329">
        <v>5</v>
      </c>
      <c r="T329">
        <v>8</v>
      </c>
      <c r="U329" t="s">
        <v>68</v>
      </c>
      <c r="V329" t="str">
        <f t="shared" si="5"/>
        <v>Apr-2023</v>
      </c>
      <c r="W329" s="16">
        <f>Table1[[#This Row],[Consultation Date]] - Table1[[#This Row],[Appointment Date]]</f>
        <v>0.20833333333575865</v>
      </c>
    </row>
    <row r="330" spans="1:23" x14ac:dyDescent="0.3">
      <c r="A330" t="s">
        <v>387</v>
      </c>
      <c r="B330">
        <v>24</v>
      </c>
      <c r="C330" t="s">
        <v>45</v>
      </c>
      <c r="D330" s="2">
        <v>45289</v>
      </c>
      <c r="E330" s="2">
        <v>45290</v>
      </c>
      <c r="F330">
        <v>1</v>
      </c>
      <c r="G330" t="s">
        <v>50</v>
      </c>
      <c r="H330">
        <v>2</v>
      </c>
      <c r="I330" t="s">
        <v>66</v>
      </c>
      <c r="J330">
        <v>45969</v>
      </c>
      <c r="K330" t="s">
        <v>67</v>
      </c>
      <c r="L330" t="s">
        <v>54</v>
      </c>
      <c r="M330" t="s">
        <v>27</v>
      </c>
      <c r="N330" s="2">
        <v>45286</v>
      </c>
      <c r="O330" s="2">
        <v>45287.541666666664</v>
      </c>
      <c r="P330" t="s">
        <v>37</v>
      </c>
      <c r="Q330" t="s">
        <v>29</v>
      </c>
      <c r="R330" t="s">
        <v>47</v>
      </c>
      <c r="S330">
        <v>11</v>
      </c>
      <c r="T330">
        <v>8</v>
      </c>
      <c r="U330" t="s">
        <v>31</v>
      </c>
      <c r="V330" t="str">
        <f t="shared" si="5"/>
        <v>Dec-2023</v>
      </c>
      <c r="W330" s="16">
        <f>Table1[[#This Row],[Consultation Date]] - Table1[[#This Row],[Appointment Date]]</f>
        <v>1.5416666666642413</v>
      </c>
    </row>
    <row r="331" spans="1:23" x14ac:dyDescent="0.3">
      <c r="A331" t="s">
        <v>388</v>
      </c>
      <c r="B331">
        <v>46</v>
      </c>
      <c r="C331" t="s">
        <v>33</v>
      </c>
      <c r="D331" s="2">
        <v>45343</v>
      </c>
      <c r="E331" s="2">
        <v>45354</v>
      </c>
      <c r="F331">
        <v>11</v>
      </c>
      <c r="G331" t="s">
        <v>34</v>
      </c>
      <c r="H331">
        <v>2</v>
      </c>
      <c r="I331" t="s">
        <v>66</v>
      </c>
      <c r="J331">
        <v>41912</v>
      </c>
      <c r="K331" t="s">
        <v>53</v>
      </c>
      <c r="L331" t="s">
        <v>54</v>
      </c>
      <c r="M331" t="s">
        <v>27</v>
      </c>
      <c r="N331" s="2">
        <v>45341</v>
      </c>
      <c r="O331" s="2">
        <v>45341.291666666664</v>
      </c>
      <c r="P331" t="s">
        <v>42</v>
      </c>
      <c r="Q331" t="s">
        <v>29</v>
      </c>
      <c r="R331" t="s">
        <v>43</v>
      </c>
      <c r="S331">
        <v>6</v>
      </c>
      <c r="T331">
        <v>12</v>
      </c>
      <c r="U331" t="s">
        <v>31</v>
      </c>
      <c r="V331" t="str">
        <f t="shared" si="5"/>
        <v>Feb-2024</v>
      </c>
      <c r="W331" s="16">
        <f>Table1[[#This Row],[Consultation Date]] - Table1[[#This Row],[Appointment Date]]</f>
        <v>0.29166666666424135</v>
      </c>
    </row>
    <row r="332" spans="1:23" x14ac:dyDescent="0.3">
      <c r="A332" t="s">
        <v>389</v>
      </c>
      <c r="B332">
        <v>53</v>
      </c>
      <c r="C332" t="s">
        <v>45</v>
      </c>
      <c r="D332" s="2">
        <v>45144</v>
      </c>
      <c r="E332" s="2">
        <v>45205</v>
      </c>
      <c r="F332">
        <v>2</v>
      </c>
      <c r="G332" t="s">
        <v>40</v>
      </c>
      <c r="H332">
        <v>4</v>
      </c>
      <c r="I332" t="s">
        <v>46</v>
      </c>
      <c r="J332">
        <v>43374</v>
      </c>
      <c r="K332" t="s">
        <v>60</v>
      </c>
      <c r="L332" t="s">
        <v>26</v>
      </c>
      <c r="M332" t="s">
        <v>27</v>
      </c>
      <c r="N332" s="2">
        <v>44991</v>
      </c>
      <c r="O332" s="2">
        <v>45022.458333333336</v>
      </c>
      <c r="P332" t="s">
        <v>64</v>
      </c>
      <c r="Q332" t="s">
        <v>29</v>
      </c>
      <c r="R332" t="s">
        <v>43</v>
      </c>
      <c r="S332">
        <v>6</v>
      </c>
      <c r="T332">
        <v>8</v>
      </c>
      <c r="U332" t="s">
        <v>48</v>
      </c>
      <c r="V332" t="str">
        <f t="shared" si="5"/>
        <v>Aug-2023</v>
      </c>
      <c r="W332" s="16">
        <f>Table1[[#This Row],[Consultation Date]] - Table1[[#This Row],[Appointment Date]]</f>
        <v>31.458333333335759</v>
      </c>
    </row>
    <row r="333" spans="1:23" x14ac:dyDescent="0.3">
      <c r="A333" t="s">
        <v>390</v>
      </c>
      <c r="B333">
        <v>60</v>
      </c>
      <c r="C333" t="s">
        <v>62</v>
      </c>
      <c r="D333" s="2">
        <v>45169</v>
      </c>
      <c r="E333" s="2">
        <v>45055</v>
      </c>
      <c r="F333">
        <v>5</v>
      </c>
      <c r="G333" t="s">
        <v>63</v>
      </c>
      <c r="H333">
        <v>5</v>
      </c>
      <c r="I333" t="s">
        <v>46</v>
      </c>
      <c r="J333">
        <v>11766</v>
      </c>
      <c r="K333" t="s">
        <v>53</v>
      </c>
      <c r="L333" t="s">
        <v>54</v>
      </c>
      <c r="M333" t="s">
        <v>41</v>
      </c>
      <c r="N333" s="2">
        <v>45165</v>
      </c>
      <c r="O333" s="2">
        <v>45165.5</v>
      </c>
      <c r="P333" t="s">
        <v>55</v>
      </c>
      <c r="Q333" t="s">
        <v>29</v>
      </c>
      <c r="R333" t="s">
        <v>47</v>
      </c>
      <c r="S333">
        <v>5</v>
      </c>
      <c r="T333">
        <v>10</v>
      </c>
      <c r="U333" t="s">
        <v>68</v>
      </c>
      <c r="V333" t="str">
        <f t="shared" si="5"/>
        <v>Aug-2023</v>
      </c>
      <c r="W333" s="16">
        <f>Table1[[#This Row],[Consultation Date]] - Table1[[#This Row],[Appointment Date]]</f>
        <v>0.5</v>
      </c>
    </row>
    <row r="334" spans="1:23" x14ac:dyDescent="0.3">
      <c r="A334" t="s">
        <v>391</v>
      </c>
      <c r="B334">
        <v>63</v>
      </c>
      <c r="C334" t="s">
        <v>33</v>
      </c>
      <c r="D334" s="2">
        <v>45093</v>
      </c>
      <c r="E334" s="2">
        <v>45101</v>
      </c>
      <c r="F334">
        <v>8</v>
      </c>
      <c r="G334" t="s">
        <v>40</v>
      </c>
      <c r="H334">
        <v>2</v>
      </c>
      <c r="I334" t="s">
        <v>35</v>
      </c>
      <c r="J334">
        <v>20928</v>
      </c>
      <c r="K334" t="s">
        <v>25</v>
      </c>
      <c r="L334" t="s">
        <v>54</v>
      </c>
      <c r="M334" t="s">
        <v>27</v>
      </c>
      <c r="N334" s="2">
        <v>45266</v>
      </c>
      <c r="O334" s="2">
        <v>45090</v>
      </c>
      <c r="P334" t="s">
        <v>64</v>
      </c>
      <c r="Q334" t="s">
        <v>29</v>
      </c>
      <c r="R334" t="s">
        <v>47</v>
      </c>
      <c r="S334">
        <v>9</v>
      </c>
      <c r="T334">
        <v>10</v>
      </c>
      <c r="U334" t="s">
        <v>68</v>
      </c>
      <c r="V334" t="str">
        <f t="shared" si="5"/>
        <v>Jun-2023</v>
      </c>
      <c r="W334" s="16">
        <f>Table1[[#This Row],[Consultation Date]] - Table1[[#This Row],[Appointment Date]]</f>
        <v>-176</v>
      </c>
    </row>
    <row r="335" spans="1:23" x14ac:dyDescent="0.3">
      <c r="A335" t="s">
        <v>392</v>
      </c>
      <c r="B335">
        <v>85</v>
      </c>
      <c r="C335" t="s">
        <v>41</v>
      </c>
      <c r="D335" s="2">
        <v>44933</v>
      </c>
      <c r="E335" s="2">
        <v>45267</v>
      </c>
      <c r="F335">
        <v>11</v>
      </c>
      <c r="G335" t="s">
        <v>23</v>
      </c>
      <c r="H335">
        <v>5</v>
      </c>
      <c r="I335" t="s">
        <v>71</v>
      </c>
      <c r="J335">
        <v>26274</v>
      </c>
      <c r="K335" t="s">
        <v>36</v>
      </c>
      <c r="L335" t="s">
        <v>26</v>
      </c>
      <c r="M335" t="s">
        <v>27</v>
      </c>
      <c r="N335" s="2">
        <v>45107</v>
      </c>
      <c r="O335" s="2">
        <v>45107.875</v>
      </c>
      <c r="P335" t="s">
        <v>37</v>
      </c>
      <c r="Q335" t="s">
        <v>29</v>
      </c>
      <c r="R335" t="s">
        <v>43</v>
      </c>
      <c r="S335">
        <v>9</v>
      </c>
      <c r="T335">
        <v>8</v>
      </c>
      <c r="U335" t="s">
        <v>68</v>
      </c>
      <c r="V335" t="str">
        <f t="shared" si="5"/>
        <v>Jan-2023</v>
      </c>
      <c r="W335" s="16">
        <f>Table1[[#This Row],[Consultation Date]] - Table1[[#This Row],[Appointment Date]]</f>
        <v>0.875</v>
      </c>
    </row>
    <row r="336" spans="1:23" x14ac:dyDescent="0.3">
      <c r="A336" t="s">
        <v>393</v>
      </c>
      <c r="B336">
        <v>32</v>
      </c>
      <c r="C336" t="s">
        <v>22</v>
      </c>
      <c r="D336" s="2">
        <v>45349</v>
      </c>
      <c r="E336" s="2">
        <v>45415</v>
      </c>
      <c r="F336">
        <v>7</v>
      </c>
      <c r="G336" t="s">
        <v>23</v>
      </c>
      <c r="H336">
        <v>1</v>
      </c>
      <c r="I336" t="s">
        <v>66</v>
      </c>
      <c r="J336">
        <v>39416</v>
      </c>
      <c r="K336" t="s">
        <v>36</v>
      </c>
      <c r="L336" t="s">
        <v>54</v>
      </c>
      <c r="M336" t="s">
        <v>41</v>
      </c>
      <c r="N336" s="2">
        <v>45344</v>
      </c>
      <c r="O336" s="2">
        <v>45344.541666666664</v>
      </c>
      <c r="P336" t="s">
        <v>42</v>
      </c>
      <c r="Q336" t="s">
        <v>29</v>
      </c>
      <c r="R336" t="s">
        <v>43</v>
      </c>
      <c r="S336">
        <v>9</v>
      </c>
      <c r="T336">
        <v>8</v>
      </c>
      <c r="U336" t="s">
        <v>68</v>
      </c>
      <c r="V336" t="str">
        <f t="shared" si="5"/>
        <v>Feb-2024</v>
      </c>
      <c r="W336" s="16">
        <f>Table1[[#This Row],[Consultation Date]] - Table1[[#This Row],[Appointment Date]]</f>
        <v>0.54166666666424135</v>
      </c>
    </row>
    <row r="337" spans="1:23" x14ac:dyDescent="0.3">
      <c r="A337" t="s">
        <v>394</v>
      </c>
      <c r="B337">
        <v>87</v>
      </c>
      <c r="C337" t="s">
        <v>62</v>
      </c>
      <c r="D337" s="2">
        <v>44952</v>
      </c>
      <c r="E337" s="2">
        <v>44987</v>
      </c>
      <c r="F337">
        <v>8</v>
      </c>
      <c r="G337" t="s">
        <v>40</v>
      </c>
      <c r="H337">
        <v>2</v>
      </c>
      <c r="I337" t="s">
        <v>71</v>
      </c>
      <c r="J337">
        <v>25612</v>
      </c>
      <c r="K337" t="s">
        <v>67</v>
      </c>
      <c r="L337" t="s">
        <v>26</v>
      </c>
      <c r="M337" t="s">
        <v>27</v>
      </c>
      <c r="N337" s="2">
        <v>44952</v>
      </c>
      <c r="O337" s="2">
        <v>44953.25</v>
      </c>
      <c r="P337" t="s">
        <v>28</v>
      </c>
      <c r="Q337" t="s">
        <v>29</v>
      </c>
      <c r="R337" t="s">
        <v>43</v>
      </c>
      <c r="S337">
        <v>10</v>
      </c>
      <c r="T337">
        <v>12</v>
      </c>
      <c r="U337" t="s">
        <v>48</v>
      </c>
      <c r="V337" t="str">
        <f t="shared" si="5"/>
        <v>Jan-2023</v>
      </c>
      <c r="W337" s="16">
        <f>Table1[[#This Row],[Consultation Date]] - Table1[[#This Row],[Appointment Date]]</f>
        <v>1.25</v>
      </c>
    </row>
    <row r="338" spans="1:23" x14ac:dyDescent="0.3">
      <c r="A338" t="s">
        <v>395</v>
      </c>
      <c r="B338">
        <v>33</v>
      </c>
      <c r="C338" t="s">
        <v>41</v>
      </c>
      <c r="D338" s="2">
        <v>44992</v>
      </c>
      <c r="E338" s="2">
        <v>45120</v>
      </c>
      <c r="F338">
        <v>10</v>
      </c>
      <c r="G338" t="s">
        <v>34</v>
      </c>
      <c r="H338">
        <v>2</v>
      </c>
      <c r="I338" t="s">
        <v>46</v>
      </c>
      <c r="J338">
        <v>39898</v>
      </c>
      <c r="K338" t="s">
        <v>36</v>
      </c>
      <c r="L338" t="s">
        <v>54</v>
      </c>
      <c r="M338" t="s">
        <v>27</v>
      </c>
      <c r="N338" s="2">
        <v>45106</v>
      </c>
      <c r="O338" s="2">
        <v>45106.333333333336</v>
      </c>
      <c r="P338" t="s">
        <v>42</v>
      </c>
      <c r="Q338" t="s">
        <v>29</v>
      </c>
      <c r="R338" t="s">
        <v>43</v>
      </c>
      <c r="S338">
        <v>7</v>
      </c>
      <c r="T338">
        <v>10</v>
      </c>
      <c r="U338" t="s">
        <v>31</v>
      </c>
      <c r="V338" t="str">
        <f t="shared" si="5"/>
        <v>Mar-2023</v>
      </c>
      <c r="W338" s="16">
        <f>Table1[[#This Row],[Consultation Date]] - Table1[[#This Row],[Appointment Date]]</f>
        <v>0.33333333333575865</v>
      </c>
    </row>
    <row r="339" spans="1:23" x14ac:dyDescent="0.3">
      <c r="A339" t="s">
        <v>396</v>
      </c>
      <c r="B339">
        <v>67</v>
      </c>
      <c r="C339" t="s">
        <v>45</v>
      </c>
      <c r="D339" s="2">
        <v>45119</v>
      </c>
      <c r="E339" s="2">
        <v>45275</v>
      </c>
      <c r="F339">
        <v>8</v>
      </c>
      <c r="G339" t="s">
        <v>34</v>
      </c>
      <c r="H339">
        <v>4</v>
      </c>
      <c r="I339" t="s">
        <v>46</v>
      </c>
      <c r="J339">
        <v>34047</v>
      </c>
      <c r="K339" t="s">
        <v>36</v>
      </c>
      <c r="L339" t="s">
        <v>26</v>
      </c>
      <c r="M339" t="s">
        <v>27</v>
      </c>
      <c r="N339" s="2">
        <v>45028</v>
      </c>
      <c r="O339" s="2">
        <v>45028.708333333336</v>
      </c>
      <c r="P339" t="s">
        <v>37</v>
      </c>
      <c r="Q339" t="s">
        <v>29</v>
      </c>
      <c r="R339" t="s">
        <v>30</v>
      </c>
      <c r="S339">
        <v>8</v>
      </c>
      <c r="T339">
        <v>10</v>
      </c>
      <c r="U339" t="s">
        <v>31</v>
      </c>
      <c r="V339" t="str">
        <f t="shared" si="5"/>
        <v>Jul-2023</v>
      </c>
      <c r="W339" s="16">
        <f>Table1[[#This Row],[Consultation Date]] - Table1[[#This Row],[Appointment Date]]</f>
        <v>0.70833333333575865</v>
      </c>
    </row>
    <row r="340" spans="1:23" x14ac:dyDescent="0.3">
      <c r="A340" t="s">
        <v>397</v>
      </c>
      <c r="B340">
        <v>18</v>
      </c>
      <c r="C340" t="s">
        <v>33</v>
      </c>
      <c r="D340" s="2">
        <v>45348</v>
      </c>
      <c r="E340" s="2">
        <v>45385</v>
      </c>
      <c r="F340">
        <v>7</v>
      </c>
      <c r="G340" t="s">
        <v>57</v>
      </c>
      <c r="H340">
        <v>5</v>
      </c>
      <c r="I340" t="s">
        <v>46</v>
      </c>
      <c r="J340">
        <v>48356</v>
      </c>
      <c r="K340" t="s">
        <v>36</v>
      </c>
      <c r="L340" t="s">
        <v>26</v>
      </c>
      <c r="M340" t="s">
        <v>27</v>
      </c>
      <c r="N340" s="2">
        <v>45347</v>
      </c>
      <c r="O340" s="2">
        <v>45348.791666666664</v>
      </c>
      <c r="P340" t="s">
        <v>28</v>
      </c>
      <c r="Q340" t="s">
        <v>29</v>
      </c>
      <c r="R340" t="s">
        <v>43</v>
      </c>
      <c r="S340">
        <v>5</v>
      </c>
      <c r="T340">
        <v>8</v>
      </c>
      <c r="U340" t="s">
        <v>68</v>
      </c>
      <c r="V340" t="str">
        <f t="shared" si="5"/>
        <v>Feb-2024</v>
      </c>
      <c r="W340" s="16">
        <f>Table1[[#This Row],[Consultation Date]] - Table1[[#This Row],[Appointment Date]]</f>
        <v>1.7916666666642413</v>
      </c>
    </row>
    <row r="341" spans="1:23" x14ac:dyDescent="0.3">
      <c r="A341" t="s">
        <v>398</v>
      </c>
      <c r="B341">
        <v>25</v>
      </c>
      <c r="C341" t="s">
        <v>22</v>
      </c>
      <c r="D341" s="2">
        <v>45269</v>
      </c>
      <c r="E341" s="2">
        <v>45186</v>
      </c>
      <c r="F341">
        <v>5</v>
      </c>
      <c r="G341" t="s">
        <v>23</v>
      </c>
      <c r="H341">
        <v>2</v>
      </c>
      <c r="I341" t="s">
        <v>71</v>
      </c>
      <c r="J341">
        <v>42134</v>
      </c>
      <c r="K341" t="s">
        <v>25</v>
      </c>
      <c r="L341" t="s">
        <v>54</v>
      </c>
      <c r="M341" t="s">
        <v>27</v>
      </c>
      <c r="N341" s="2">
        <v>45147</v>
      </c>
      <c r="O341" s="2">
        <v>45178.333333333336</v>
      </c>
      <c r="P341" t="s">
        <v>64</v>
      </c>
      <c r="Q341" t="s">
        <v>29</v>
      </c>
      <c r="R341" t="s">
        <v>30</v>
      </c>
      <c r="S341">
        <v>5</v>
      </c>
      <c r="T341">
        <v>8</v>
      </c>
      <c r="U341" t="s">
        <v>68</v>
      </c>
      <c r="V341" t="str">
        <f t="shared" si="5"/>
        <v>Dec-2023</v>
      </c>
      <c r="W341" s="16">
        <f>Table1[[#This Row],[Consultation Date]] - Table1[[#This Row],[Appointment Date]]</f>
        <v>31.333333333335759</v>
      </c>
    </row>
    <row r="342" spans="1:23" x14ac:dyDescent="0.3">
      <c r="A342" t="s">
        <v>399</v>
      </c>
      <c r="B342">
        <v>54</v>
      </c>
      <c r="C342" t="s">
        <v>62</v>
      </c>
      <c r="D342" s="2">
        <v>44936</v>
      </c>
      <c r="E342" s="2">
        <v>45056</v>
      </c>
      <c r="F342">
        <v>4</v>
      </c>
      <c r="G342" t="s">
        <v>63</v>
      </c>
      <c r="H342">
        <v>2</v>
      </c>
      <c r="I342" t="s">
        <v>46</v>
      </c>
      <c r="J342">
        <v>6506</v>
      </c>
      <c r="K342" t="s">
        <v>36</v>
      </c>
      <c r="L342" t="s">
        <v>54</v>
      </c>
      <c r="M342" t="s">
        <v>27</v>
      </c>
      <c r="N342" s="2">
        <v>45195</v>
      </c>
      <c r="O342" s="2">
        <v>45196.416666666664</v>
      </c>
      <c r="P342" t="s">
        <v>55</v>
      </c>
      <c r="Q342" t="s">
        <v>29</v>
      </c>
      <c r="R342" t="s">
        <v>47</v>
      </c>
      <c r="S342">
        <v>10</v>
      </c>
      <c r="T342">
        <v>8</v>
      </c>
      <c r="U342" t="s">
        <v>68</v>
      </c>
      <c r="V342" t="str">
        <f t="shared" si="5"/>
        <v>Jan-2023</v>
      </c>
      <c r="W342" s="16">
        <f>Table1[[#This Row],[Consultation Date]] - Table1[[#This Row],[Appointment Date]]</f>
        <v>1.4166666666642413</v>
      </c>
    </row>
    <row r="343" spans="1:23" x14ac:dyDescent="0.3">
      <c r="A343" t="s">
        <v>400</v>
      </c>
      <c r="B343">
        <v>58</v>
      </c>
      <c r="C343" t="s">
        <v>41</v>
      </c>
      <c r="D343" s="2">
        <v>45090</v>
      </c>
      <c r="E343" s="2">
        <v>45103</v>
      </c>
      <c r="F343">
        <v>13</v>
      </c>
      <c r="G343" t="s">
        <v>34</v>
      </c>
      <c r="H343">
        <v>4</v>
      </c>
      <c r="I343" t="s">
        <v>35</v>
      </c>
      <c r="J343">
        <v>20222</v>
      </c>
      <c r="K343" t="s">
        <v>36</v>
      </c>
      <c r="L343" t="s">
        <v>54</v>
      </c>
      <c r="M343" t="s">
        <v>27</v>
      </c>
      <c r="N343" s="2">
        <v>45144</v>
      </c>
      <c r="O343" s="2">
        <v>45175.708333333336</v>
      </c>
      <c r="P343" t="s">
        <v>55</v>
      </c>
      <c r="Q343" t="s">
        <v>29</v>
      </c>
      <c r="R343" t="s">
        <v>30</v>
      </c>
      <c r="S343">
        <v>5</v>
      </c>
      <c r="T343">
        <v>10</v>
      </c>
      <c r="U343" t="s">
        <v>48</v>
      </c>
      <c r="V343" t="str">
        <f t="shared" si="5"/>
        <v>Jun-2023</v>
      </c>
      <c r="W343" s="16">
        <f>Table1[[#This Row],[Consultation Date]] - Table1[[#This Row],[Appointment Date]]</f>
        <v>31.708333333335759</v>
      </c>
    </row>
    <row r="344" spans="1:23" x14ac:dyDescent="0.3">
      <c r="A344" t="s">
        <v>401</v>
      </c>
      <c r="B344">
        <v>67</v>
      </c>
      <c r="C344" t="s">
        <v>41</v>
      </c>
      <c r="D344" s="2">
        <v>45037</v>
      </c>
      <c r="E344" s="2">
        <v>45046</v>
      </c>
      <c r="F344">
        <v>9</v>
      </c>
      <c r="G344" t="s">
        <v>50</v>
      </c>
      <c r="H344">
        <v>4</v>
      </c>
      <c r="I344" t="s">
        <v>46</v>
      </c>
      <c r="J344">
        <v>17363</v>
      </c>
      <c r="K344" t="s">
        <v>36</v>
      </c>
      <c r="L344" t="s">
        <v>54</v>
      </c>
      <c r="M344" t="s">
        <v>41</v>
      </c>
      <c r="N344" s="2">
        <v>45033</v>
      </c>
      <c r="O344" s="2">
        <v>45033.875</v>
      </c>
      <c r="P344" t="s">
        <v>42</v>
      </c>
      <c r="Q344" t="s">
        <v>29</v>
      </c>
      <c r="R344" t="s">
        <v>47</v>
      </c>
      <c r="S344">
        <v>11</v>
      </c>
      <c r="T344">
        <v>8</v>
      </c>
      <c r="U344" t="s">
        <v>48</v>
      </c>
      <c r="V344" t="str">
        <f t="shared" si="5"/>
        <v>Apr-2023</v>
      </c>
      <c r="W344" s="16">
        <f>Table1[[#This Row],[Consultation Date]] - Table1[[#This Row],[Appointment Date]]</f>
        <v>0.875</v>
      </c>
    </row>
    <row r="345" spans="1:23" x14ac:dyDescent="0.3">
      <c r="A345" t="s">
        <v>402</v>
      </c>
      <c r="B345">
        <v>46</v>
      </c>
      <c r="C345" t="s">
        <v>22</v>
      </c>
      <c r="D345" s="2">
        <v>45318</v>
      </c>
      <c r="E345" s="2">
        <v>45320</v>
      </c>
      <c r="F345">
        <v>2</v>
      </c>
      <c r="G345" t="s">
        <v>23</v>
      </c>
      <c r="H345">
        <v>5</v>
      </c>
      <c r="I345" t="s">
        <v>24</v>
      </c>
      <c r="J345">
        <v>24613</v>
      </c>
      <c r="K345" t="s">
        <v>53</v>
      </c>
      <c r="L345" t="s">
        <v>54</v>
      </c>
      <c r="M345" t="s">
        <v>27</v>
      </c>
      <c r="N345" s="2">
        <v>45315</v>
      </c>
      <c r="O345" s="2">
        <v>45316.625</v>
      </c>
      <c r="P345" t="s">
        <v>64</v>
      </c>
      <c r="Q345" t="s">
        <v>38</v>
      </c>
      <c r="R345" t="s">
        <v>30</v>
      </c>
      <c r="S345">
        <v>11</v>
      </c>
      <c r="T345">
        <v>12</v>
      </c>
      <c r="U345" t="s">
        <v>31</v>
      </c>
      <c r="V345" t="str">
        <f t="shared" si="5"/>
        <v>Jan-2024</v>
      </c>
      <c r="W345" s="16">
        <f>Table1[[#This Row],[Consultation Date]] - Table1[[#This Row],[Appointment Date]]</f>
        <v>1.625</v>
      </c>
    </row>
    <row r="346" spans="1:23" x14ac:dyDescent="0.3">
      <c r="A346" t="s">
        <v>403</v>
      </c>
      <c r="B346">
        <v>24</v>
      </c>
      <c r="C346" t="s">
        <v>45</v>
      </c>
      <c r="D346" s="2">
        <v>45171</v>
      </c>
      <c r="E346" s="2">
        <v>44972</v>
      </c>
      <c r="F346">
        <v>6</v>
      </c>
      <c r="G346" t="s">
        <v>63</v>
      </c>
      <c r="H346">
        <v>1</v>
      </c>
      <c r="I346" t="s">
        <v>71</v>
      </c>
      <c r="J346">
        <v>49563</v>
      </c>
      <c r="K346" t="s">
        <v>25</v>
      </c>
      <c r="L346" t="s">
        <v>26</v>
      </c>
      <c r="M346" t="s">
        <v>27</v>
      </c>
      <c r="N346" s="2">
        <v>45140</v>
      </c>
      <c r="O346" s="2">
        <v>45171.041666666664</v>
      </c>
      <c r="P346" t="s">
        <v>37</v>
      </c>
      <c r="Q346" t="s">
        <v>29</v>
      </c>
      <c r="R346" t="s">
        <v>47</v>
      </c>
      <c r="S346">
        <v>5</v>
      </c>
      <c r="T346">
        <v>12</v>
      </c>
      <c r="U346" t="s">
        <v>68</v>
      </c>
      <c r="V346" t="str">
        <f t="shared" si="5"/>
        <v>Sep-2023</v>
      </c>
      <c r="W346" s="16">
        <f>Table1[[#This Row],[Consultation Date]] - Table1[[#This Row],[Appointment Date]]</f>
        <v>31.041666666664241</v>
      </c>
    </row>
    <row r="347" spans="1:23" x14ac:dyDescent="0.3">
      <c r="A347" t="s">
        <v>404</v>
      </c>
      <c r="B347">
        <v>32</v>
      </c>
      <c r="C347" t="s">
        <v>22</v>
      </c>
      <c r="D347" s="2">
        <v>45408</v>
      </c>
      <c r="E347" s="2">
        <v>45356</v>
      </c>
      <c r="F347">
        <v>7</v>
      </c>
      <c r="G347" t="s">
        <v>63</v>
      </c>
      <c r="H347">
        <v>1</v>
      </c>
      <c r="I347" t="s">
        <v>24</v>
      </c>
      <c r="J347">
        <v>35628</v>
      </c>
      <c r="K347" t="s">
        <v>67</v>
      </c>
      <c r="L347" t="s">
        <v>54</v>
      </c>
      <c r="M347" t="s">
        <v>27</v>
      </c>
      <c r="N347" s="2">
        <v>45403</v>
      </c>
      <c r="O347" s="2">
        <v>45404.666666666664</v>
      </c>
      <c r="P347" t="s">
        <v>55</v>
      </c>
      <c r="Q347" t="s">
        <v>29</v>
      </c>
      <c r="R347" t="s">
        <v>43</v>
      </c>
      <c r="S347">
        <v>10</v>
      </c>
      <c r="T347">
        <v>8</v>
      </c>
      <c r="U347" t="s">
        <v>68</v>
      </c>
      <c r="V347" t="str">
        <f t="shared" si="5"/>
        <v>Apr-2024</v>
      </c>
      <c r="W347" s="16">
        <f>Table1[[#This Row],[Consultation Date]] - Table1[[#This Row],[Appointment Date]]</f>
        <v>1.6666666666642413</v>
      </c>
    </row>
    <row r="348" spans="1:23" x14ac:dyDescent="0.3">
      <c r="A348" t="s">
        <v>405</v>
      </c>
      <c r="B348">
        <v>47</v>
      </c>
      <c r="C348" t="s">
        <v>41</v>
      </c>
      <c r="D348" s="2">
        <v>45154</v>
      </c>
      <c r="E348" s="2">
        <v>45156</v>
      </c>
      <c r="F348">
        <v>2</v>
      </c>
      <c r="G348" t="s">
        <v>34</v>
      </c>
      <c r="H348">
        <v>3</v>
      </c>
      <c r="I348" t="s">
        <v>46</v>
      </c>
      <c r="J348">
        <v>47626</v>
      </c>
      <c r="K348" t="s">
        <v>53</v>
      </c>
      <c r="L348" t="s">
        <v>54</v>
      </c>
      <c r="M348" t="s">
        <v>27</v>
      </c>
      <c r="N348" s="2">
        <v>45153</v>
      </c>
      <c r="O348" s="2">
        <v>45154.083333333336</v>
      </c>
      <c r="P348" t="s">
        <v>64</v>
      </c>
      <c r="Q348" t="s">
        <v>29</v>
      </c>
      <c r="R348" t="s">
        <v>30</v>
      </c>
      <c r="S348">
        <v>5</v>
      </c>
      <c r="T348">
        <v>12</v>
      </c>
      <c r="U348" t="s">
        <v>68</v>
      </c>
      <c r="V348" t="str">
        <f t="shared" si="5"/>
        <v>Aug-2023</v>
      </c>
      <c r="W348" s="16">
        <f>Table1[[#This Row],[Consultation Date]] - Table1[[#This Row],[Appointment Date]]</f>
        <v>1.0833333333357587</v>
      </c>
    </row>
    <row r="349" spans="1:23" x14ac:dyDescent="0.3">
      <c r="A349" t="s">
        <v>406</v>
      </c>
      <c r="B349">
        <v>86</v>
      </c>
      <c r="C349" t="s">
        <v>52</v>
      </c>
      <c r="D349" s="2">
        <v>45131</v>
      </c>
      <c r="E349" s="2">
        <v>45136</v>
      </c>
      <c r="F349">
        <v>5</v>
      </c>
      <c r="G349" t="s">
        <v>63</v>
      </c>
      <c r="H349">
        <v>2</v>
      </c>
      <c r="I349" t="s">
        <v>35</v>
      </c>
      <c r="J349">
        <v>9136</v>
      </c>
      <c r="K349" t="s">
        <v>60</v>
      </c>
      <c r="L349" t="s">
        <v>26</v>
      </c>
      <c r="M349" t="s">
        <v>27</v>
      </c>
      <c r="N349" s="2">
        <v>45131</v>
      </c>
      <c r="O349" s="2">
        <v>45132.583333333336</v>
      </c>
      <c r="P349" t="s">
        <v>42</v>
      </c>
      <c r="Q349" t="s">
        <v>29</v>
      </c>
      <c r="R349" t="s">
        <v>30</v>
      </c>
      <c r="S349">
        <v>9</v>
      </c>
      <c r="T349">
        <v>12</v>
      </c>
      <c r="U349" t="s">
        <v>68</v>
      </c>
      <c r="V349" t="str">
        <f t="shared" si="5"/>
        <v>Jul-2023</v>
      </c>
      <c r="W349" s="16">
        <f>Table1[[#This Row],[Consultation Date]] - Table1[[#This Row],[Appointment Date]]</f>
        <v>1.5833333333357587</v>
      </c>
    </row>
    <row r="350" spans="1:23" x14ac:dyDescent="0.3">
      <c r="A350" t="s">
        <v>407</v>
      </c>
      <c r="B350">
        <v>23</v>
      </c>
      <c r="C350" t="s">
        <v>62</v>
      </c>
      <c r="D350" s="2">
        <v>45398</v>
      </c>
      <c r="E350" s="2">
        <v>45409</v>
      </c>
      <c r="F350">
        <v>11</v>
      </c>
      <c r="G350" t="s">
        <v>34</v>
      </c>
      <c r="H350">
        <v>5</v>
      </c>
      <c r="I350" t="s">
        <v>66</v>
      </c>
      <c r="J350">
        <v>16161</v>
      </c>
      <c r="K350" t="s">
        <v>25</v>
      </c>
      <c r="L350" t="s">
        <v>54</v>
      </c>
      <c r="M350" t="s">
        <v>27</v>
      </c>
      <c r="N350" s="2">
        <v>45630</v>
      </c>
      <c r="O350" s="2">
        <v>45630.333333333336</v>
      </c>
      <c r="P350" t="s">
        <v>28</v>
      </c>
      <c r="Q350" t="s">
        <v>29</v>
      </c>
      <c r="R350" t="s">
        <v>47</v>
      </c>
      <c r="S350">
        <v>10</v>
      </c>
      <c r="T350">
        <v>12</v>
      </c>
      <c r="U350" t="s">
        <v>48</v>
      </c>
      <c r="V350" t="str">
        <f t="shared" si="5"/>
        <v>Apr-2024</v>
      </c>
      <c r="W350" s="16">
        <f>Table1[[#This Row],[Consultation Date]] - Table1[[#This Row],[Appointment Date]]</f>
        <v>0.33333333333575865</v>
      </c>
    </row>
    <row r="351" spans="1:23" x14ac:dyDescent="0.3">
      <c r="A351" t="s">
        <v>408</v>
      </c>
      <c r="B351">
        <v>66</v>
      </c>
      <c r="C351" t="s">
        <v>22</v>
      </c>
      <c r="D351" s="2">
        <v>45285</v>
      </c>
      <c r="E351" s="2">
        <v>45413</v>
      </c>
      <c r="F351">
        <v>11</v>
      </c>
      <c r="G351" t="s">
        <v>40</v>
      </c>
      <c r="H351">
        <v>2</v>
      </c>
      <c r="I351" t="s">
        <v>46</v>
      </c>
      <c r="J351">
        <v>40457</v>
      </c>
      <c r="K351" t="s">
        <v>25</v>
      </c>
      <c r="L351" t="s">
        <v>26</v>
      </c>
      <c r="M351" t="s">
        <v>41</v>
      </c>
      <c r="N351" s="2">
        <v>45280</v>
      </c>
      <c r="O351" s="2">
        <v>45280.958333333336</v>
      </c>
      <c r="P351" t="s">
        <v>42</v>
      </c>
      <c r="Q351" t="s">
        <v>29</v>
      </c>
      <c r="R351" t="s">
        <v>47</v>
      </c>
      <c r="S351">
        <v>7</v>
      </c>
      <c r="T351">
        <v>12</v>
      </c>
      <c r="U351" t="s">
        <v>31</v>
      </c>
      <c r="V351" t="str">
        <f t="shared" si="5"/>
        <v>Dec-2023</v>
      </c>
      <c r="W351" s="16">
        <f>Table1[[#This Row],[Consultation Date]] - Table1[[#This Row],[Appointment Date]]</f>
        <v>0.95833333333575865</v>
      </c>
    </row>
    <row r="352" spans="1:23" x14ac:dyDescent="0.3">
      <c r="A352" t="s">
        <v>409</v>
      </c>
      <c r="B352">
        <v>27</v>
      </c>
      <c r="C352" t="s">
        <v>41</v>
      </c>
      <c r="D352" s="2">
        <v>45180</v>
      </c>
      <c r="E352" s="2">
        <v>45249</v>
      </c>
      <c r="F352">
        <v>10</v>
      </c>
      <c r="G352" t="s">
        <v>23</v>
      </c>
      <c r="H352">
        <v>5</v>
      </c>
      <c r="I352" t="s">
        <v>35</v>
      </c>
      <c r="J352">
        <v>28574</v>
      </c>
      <c r="K352" t="s">
        <v>60</v>
      </c>
      <c r="L352" t="s">
        <v>26</v>
      </c>
      <c r="M352" t="s">
        <v>27</v>
      </c>
      <c r="N352" s="2">
        <v>45180</v>
      </c>
      <c r="O352" s="2">
        <v>45180.958333333336</v>
      </c>
      <c r="P352" t="s">
        <v>42</v>
      </c>
      <c r="Q352" t="s">
        <v>29</v>
      </c>
      <c r="R352" t="s">
        <v>30</v>
      </c>
      <c r="S352">
        <v>4</v>
      </c>
      <c r="T352">
        <v>12</v>
      </c>
      <c r="U352" t="s">
        <v>31</v>
      </c>
      <c r="V352" t="str">
        <f t="shared" si="5"/>
        <v>Sep-2023</v>
      </c>
      <c r="W352" s="16">
        <f>Table1[[#This Row],[Consultation Date]] - Table1[[#This Row],[Appointment Date]]</f>
        <v>0.95833333333575865</v>
      </c>
    </row>
    <row r="353" spans="1:23" x14ac:dyDescent="0.3">
      <c r="A353" t="s">
        <v>410</v>
      </c>
      <c r="B353">
        <v>2</v>
      </c>
      <c r="C353" t="s">
        <v>45</v>
      </c>
      <c r="D353" s="2">
        <v>45160</v>
      </c>
      <c r="E353" s="2">
        <v>45168</v>
      </c>
      <c r="F353">
        <v>8</v>
      </c>
      <c r="G353" t="s">
        <v>57</v>
      </c>
      <c r="H353">
        <v>5</v>
      </c>
      <c r="I353" t="s">
        <v>71</v>
      </c>
      <c r="J353">
        <v>31902</v>
      </c>
      <c r="K353" t="s">
        <v>60</v>
      </c>
      <c r="L353" t="s">
        <v>54</v>
      </c>
      <c r="M353" t="s">
        <v>27</v>
      </c>
      <c r="N353" s="2">
        <v>45159</v>
      </c>
      <c r="O353" s="2">
        <v>45160.25</v>
      </c>
      <c r="P353" t="s">
        <v>64</v>
      </c>
      <c r="Q353" t="s">
        <v>29</v>
      </c>
      <c r="R353" t="s">
        <v>47</v>
      </c>
      <c r="S353">
        <v>9</v>
      </c>
      <c r="T353">
        <v>10</v>
      </c>
      <c r="U353" t="s">
        <v>48</v>
      </c>
      <c r="V353" t="str">
        <f t="shared" si="5"/>
        <v>Aug-2023</v>
      </c>
      <c r="W353" s="16">
        <f>Table1[[#This Row],[Consultation Date]] - Table1[[#This Row],[Appointment Date]]</f>
        <v>1.25</v>
      </c>
    </row>
    <row r="354" spans="1:23" x14ac:dyDescent="0.3">
      <c r="A354" t="s">
        <v>411</v>
      </c>
      <c r="B354">
        <v>17</v>
      </c>
      <c r="C354" t="s">
        <v>41</v>
      </c>
      <c r="D354" s="2">
        <v>45155</v>
      </c>
      <c r="E354" s="2">
        <v>45164</v>
      </c>
      <c r="F354">
        <v>9</v>
      </c>
      <c r="G354" t="s">
        <v>40</v>
      </c>
      <c r="H354">
        <v>5</v>
      </c>
      <c r="I354" t="s">
        <v>24</v>
      </c>
      <c r="J354">
        <v>7810</v>
      </c>
      <c r="K354" t="s">
        <v>60</v>
      </c>
      <c r="L354" t="s">
        <v>54</v>
      </c>
      <c r="M354" t="s">
        <v>41</v>
      </c>
      <c r="N354" s="2">
        <v>45155</v>
      </c>
      <c r="O354" s="2">
        <v>45156.666666666664</v>
      </c>
      <c r="P354" t="s">
        <v>55</v>
      </c>
      <c r="Q354" t="s">
        <v>29</v>
      </c>
      <c r="R354" t="s">
        <v>43</v>
      </c>
      <c r="S354">
        <v>11</v>
      </c>
      <c r="T354">
        <v>8</v>
      </c>
      <c r="U354" t="s">
        <v>68</v>
      </c>
      <c r="V354" t="str">
        <f t="shared" si="5"/>
        <v>Aug-2023</v>
      </c>
      <c r="W354" s="16">
        <f>Table1[[#This Row],[Consultation Date]] - Table1[[#This Row],[Appointment Date]]</f>
        <v>1.6666666666642413</v>
      </c>
    </row>
    <row r="355" spans="1:23" x14ac:dyDescent="0.3">
      <c r="A355" t="s">
        <v>412</v>
      </c>
      <c r="B355">
        <v>33</v>
      </c>
      <c r="C355" t="s">
        <v>45</v>
      </c>
      <c r="D355" s="2">
        <v>44951</v>
      </c>
      <c r="E355" s="2">
        <v>45048</v>
      </c>
      <c r="F355">
        <v>11</v>
      </c>
      <c r="G355" t="s">
        <v>23</v>
      </c>
      <c r="H355">
        <v>2</v>
      </c>
      <c r="I355" t="s">
        <v>24</v>
      </c>
      <c r="J355">
        <v>16663</v>
      </c>
      <c r="K355" t="s">
        <v>67</v>
      </c>
      <c r="L355" t="s">
        <v>54</v>
      </c>
      <c r="M355" t="s">
        <v>27</v>
      </c>
      <c r="N355" s="2">
        <v>44948</v>
      </c>
      <c r="O355" s="2">
        <v>44948.5</v>
      </c>
      <c r="P355" t="s">
        <v>64</v>
      </c>
      <c r="Q355" t="s">
        <v>29</v>
      </c>
      <c r="R355" t="s">
        <v>30</v>
      </c>
      <c r="S355">
        <v>9</v>
      </c>
      <c r="T355">
        <v>12</v>
      </c>
      <c r="U355" t="s">
        <v>31</v>
      </c>
      <c r="V355" t="str">
        <f t="shared" si="5"/>
        <v>Jan-2023</v>
      </c>
      <c r="W355" s="16">
        <f>Table1[[#This Row],[Consultation Date]] - Table1[[#This Row],[Appointment Date]]</f>
        <v>0.5</v>
      </c>
    </row>
    <row r="356" spans="1:23" x14ac:dyDescent="0.3">
      <c r="A356" t="s">
        <v>413</v>
      </c>
      <c r="B356">
        <v>9</v>
      </c>
      <c r="C356" t="s">
        <v>22</v>
      </c>
      <c r="D356" s="2">
        <v>45124</v>
      </c>
      <c r="E356" s="2">
        <v>45129</v>
      </c>
      <c r="F356">
        <v>5</v>
      </c>
      <c r="G356" t="s">
        <v>34</v>
      </c>
      <c r="H356">
        <v>4</v>
      </c>
      <c r="I356" t="s">
        <v>24</v>
      </c>
      <c r="J356">
        <v>11152</v>
      </c>
      <c r="K356" t="s">
        <v>36</v>
      </c>
      <c r="L356" t="s">
        <v>26</v>
      </c>
      <c r="M356" t="s">
        <v>27</v>
      </c>
      <c r="N356" s="2">
        <v>45122</v>
      </c>
      <c r="O356" s="2">
        <v>45123.833333333336</v>
      </c>
      <c r="P356" t="s">
        <v>28</v>
      </c>
      <c r="Q356" t="s">
        <v>29</v>
      </c>
      <c r="R356" t="s">
        <v>43</v>
      </c>
      <c r="S356">
        <v>8</v>
      </c>
      <c r="T356">
        <v>8</v>
      </c>
      <c r="U356" t="s">
        <v>31</v>
      </c>
      <c r="V356" t="str">
        <f t="shared" si="5"/>
        <v>Jul-2023</v>
      </c>
      <c r="W356" s="16">
        <f>Table1[[#This Row],[Consultation Date]] - Table1[[#This Row],[Appointment Date]]</f>
        <v>1.8333333333357587</v>
      </c>
    </row>
    <row r="357" spans="1:23" x14ac:dyDescent="0.3">
      <c r="A357" t="s">
        <v>414</v>
      </c>
      <c r="B357">
        <v>43</v>
      </c>
      <c r="C357" t="s">
        <v>45</v>
      </c>
      <c r="D357" s="2">
        <v>45335</v>
      </c>
      <c r="E357" s="2">
        <v>45336</v>
      </c>
      <c r="F357">
        <v>1</v>
      </c>
      <c r="G357" t="s">
        <v>23</v>
      </c>
      <c r="H357">
        <v>2</v>
      </c>
      <c r="I357" t="s">
        <v>71</v>
      </c>
      <c r="J357">
        <v>5012</v>
      </c>
      <c r="K357" t="s">
        <v>25</v>
      </c>
      <c r="L357" t="s">
        <v>54</v>
      </c>
      <c r="M357" t="s">
        <v>27</v>
      </c>
      <c r="N357" s="2">
        <v>45567</v>
      </c>
      <c r="O357" s="2">
        <v>45598.916666666664</v>
      </c>
      <c r="P357" t="s">
        <v>64</v>
      </c>
      <c r="Q357" t="s">
        <v>29</v>
      </c>
      <c r="R357" t="s">
        <v>30</v>
      </c>
      <c r="S357">
        <v>10</v>
      </c>
      <c r="T357">
        <v>12</v>
      </c>
      <c r="U357" t="s">
        <v>48</v>
      </c>
      <c r="V357" t="str">
        <f t="shared" si="5"/>
        <v>Feb-2024</v>
      </c>
      <c r="W357" s="16">
        <f>Table1[[#This Row],[Consultation Date]] - Table1[[#This Row],[Appointment Date]]</f>
        <v>31.916666666664241</v>
      </c>
    </row>
    <row r="358" spans="1:23" x14ac:dyDescent="0.3">
      <c r="A358" t="s">
        <v>415</v>
      </c>
      <c r="B358">
        <v>48</v>
      </c>
      <c r="C358" t="s">
        <v>33</v>
      </c>
      <c r="D358" s="2">
        <v>44997</v>
      </c>
      <c r="E358" s="2">
        <v>45119</v>
      </c>
      <c r="F358">
        <v>4</v>
      </c>
      <c r="G358" t="s">
        <v>34</v>
      </c>
      <c r="H358">
        <v>5</v>
      </c>
      <c r="I358" t="s">
        <v>35</v>
      </c>
      <c r="J358">
        <v>16162</v>
      </c>
      <c r="K358" t="s">
        <v>36</v>
      </c>
      <c r="L358" t="s">
        <v>26</v>
      </c>
      <c r="M358" t="s">
        <v>41</v>
      </c>
      <c r="N358" s="2">
        <v>44969</v>
      </c>
      <c r="O358" s="2">
        <v>44969.833333333336</v>
      </c>
      <c r="P358" t="s">
        <v>37</v>
      </c>
      <c r="Q358" t="s">
        <v>29</v>
      </c>
      <c r="R358" t="s">
        <v>43</v>
      </c>
      <c r="S358">
        <v>11</v>
      </c>
      <c r="T358">
        <v>10</v>
      </c>
      <c r="U358" t="s">
        <v>68</v>
      </c>
      <c r="V358" t="str">
        <f t="shared" si="5"/>
        <v>Mar-2023</v>
      </c>
      <c r="W358" s="16">
        <f>Table1[[#This Row],[Consultation Date]] - Table1[[#This Row],[Appointment Date]]</f>
        <v>0.83333333333575865</v>
      </c>
    </row>
    <row r="359" spans="1:23" x14ac:dyDescent="0.3">
      <c r="A359" t="s">
        <v>416</v>
      </c>
      <c r="B359">
        <v>39</v>
      </c>
      <c r="C359" t="s">
        <v>33</v>
      </c>
      <c r="D359" s="2">
        <v>45212</v>
      </c>
      <c r="E359" s="2">
        <v>45219</v>
      </c>
      <c r="F359">
        <v>7</v>
      </c>
      <c r="G359" t="s">
        <v>40</v>
      </c>
      <c r="H359">
        <v>3</v>
      </c>
      <c r="I359" t="s">
        <v>71</v>
      </c>
      <c r="J359">
        <v>27322</v>
      </c>
      <c r="K359" t="s">
        <v>36</v>
      </c>
      <c r="L359" t="s">
        <v>26</v>
      </c>
      <c r="M359" t="s">
        <v>41</v>
      </c>
      <c r="N359" s="2">
        <v>45209</v>
      </c>
      <c r="O359" s="2">
        <v>45240.666666666664</v>
      </c>
      <c r="P359" t="s">
        <v>42</v>
      </c>
      <c r="Q359" t="s">
        <v>29</v>
      </c>
      <c r="R359" t="s">
        <v>30</v>
      </c>
      <c r="S359">
        <v>4</v>
      </c>
      <c r="T359">
        <v>10</v>
      </c>
      <c r="U359" t="s">
        <v>31</v>
      </c>
      <c r="V359" t="str">
        <f t="shared" si="5"/>
        <v>Oct-2023</v>
      </c>
      <c r="W359" s="16">
        <f>Table1[[#This Row],[Consultation Date]] - Table1[[#This Row],[Appointment Date]]</f>
        <v>31.666666666664241</v>
      </c>
    </row>
    <row r="360" spans="1:23" x14ac:dyDescent="0.3">
      <c r="A360" t="s">
        <v>417</v>
      </c>
      <c r="B360">
        <v>42</v>
      </c>
      <c r="C360" t="s">
        <v>33</v>
      </c>
      <c r="D360" s="2">
        <v>44998</v>
      </c>
      <c r="E360" s="2">
        <v>45008</v>
      </c>
      <c r="F360">
        <v>10</v>
      </c>
      <c r="G360" t="s">
        <v>50</v>
      </c>
      <c r="H360">
        <v>1</v>
      </c>
      <c r="I360" t="s">
        <v>24</v>
      </c>
      <c r="J360">
        <v>12999</v>
      </c>
      <c r="K360" t="s">
        <v>60</v>
      </c>
      <c r="L360" t="s">
        <v>54</v>
      </c>
      <c r="M360" t="s">
        <v>27</v>
      </c>
      <c r="N360" s="2">
        <v>45141</v>
      </c>
      <c r="O360" s="2">
        <v>45172.583333333336</v>
      </c>
      <c r="P360" t="s">
        <v>55</v>
      </c>
      <c r="Q360" t="s">
        <v>29</v>
      </c>
      <c r="R360" t="s">
        <v>47</v>
      </c>
      <c r="S360">
        <v>5</v>
      </c>
      <c r="T360">
        <v>12</v>
      </c>
      <c r="U360" t="s">
        <v>68</v>
      </c>
      <c r="V360" t="str">
        <f t="shared" si="5"/>
        <v>Mar-2023</v>
      </c>
      <c r="W360" s="16">
        <f>Table1[[#This Row],[Consultation Date]] - Table1[[#This Row],[Appointment Date]]</f>
        <v>31.583333333335759</v>
      </c>
    </row>
    <row r="361" spans="1:23" x14ac:dyDescent="0.3">
      <c r="A361" t="s">
        <v>418</v>
      </c>
      <c r="B361">
        <v>26</v>
      </c>
      <c r="C361" t="s">
        <v>52</v>
      </c>
      <c r="D361" s="2">
        <v>45212</v>
      </c>
      <c r="E361" s="2">
        <v>45213</v>
      </c>
      <c r="F361">
        <v>1</v>
      </c>
      <c r="G361" t="s">
        <v>50</v>
      </c>
      <c r="H361">
        <v>5</v>
      </c>
      <c r="I361" t="s">
        <v>46</v>
      </c>
      <c r="J361">
        <v>12219</v>
      </c>
      <c r="K361" t="s">
        <v>67</v>
      </c>
      <c r="L361" t="s">
        <v>26</v>
      </c>
      <c r="M361" t="s">
        <v>41</v>
      </c>
      <c r="N361" s="2">
        <v>45270</v>
      </c>
      <c r="O361" s="2">
        <v>45270.25</v>
      </c>
      <c r="P361" t="s">
        <v>28</v>
      </c>
      <c r="Q361" t="s">
        <v>29</v>
      </c>
      <c r="R361" t="s">
        <v>30</v>
      </c>
      <c r="S361">
        <v>4</v>
      </c>
      <c r="T361">
        <v>12</v>
      </c>
      <c r="U361" t="s">
        <v>31</v>
      </c>
      <c r="V361" t="str">
        <f t="shared" si="5"/>
        <v>Oct-2023</v>
      </c>
      <c r="W361" s="16">
        <f>Table1[[#This Row],[Consultation Date]] - Table1[[#This Row],[Appointment Date]]</f>
        <v>0.25</v>
      </c>
    </row>
    <row r="362" spans="1:23" x14ac:dyDescent="0.3">
      <c r="A362" t="s">
        <v>419</v>
      </c>
      <c r="B362">
        <v>50</v>
      </c>
      <c r="C362" t="s">
        <v>22</v>
      </c>
      <c r="D362" s="2">
        <v>45286</v>
      </c>
      <c r="E362" s="2">
        <v>45287</v>
      </c>
      <c r="F362">
        <v>1</v>
      </c>
      <c r="G362" t="s">
        <v>23</v>
      </c>
      <c r="H362">
        <v>3</v>
      </c>
      <c r="I362" t="s">
        <v>66</v>
      </c>
      <c r="J362">
        <v>10328</v>
      </c>
      <c r="K362" t="s">
        <v>53</v>
      </c>
      <c r="L362" t="s">
        <v>54</v>
      </c>
      <c r="M362" t="s">
        <v>27</v>
      </c>
      <c r="N362" s="2">
        <v>45283</v>
      </c>
      <c r="O362" s="2">
        <v>45284.833333333336</v>
      </c>
      <c r="P362" t="s">
        <v>42</v>
      </c>
      <c r="Q362" t="s">
        <v>29</v>
      </c>
      <c r="R362" t="s">
        <v>43</v>
      </c>
      <c r="S362">
        <v>7</v>
      </c>
      <c r="T362">
        <v>12</v>
      </c>
      <c r="U362" t="s">
        <v>48</v>
      </c>
      <c r="V362" t="str">
        <f t="shared" si="5"/>
        <v>Dec-2023</v>
      </c>
      <c r="W362" s="16">
        <f>Table1[[#This Row],[Consultation Date]] - Table1[[#This Row],[Appointment Date]]</f>
        <v>1.8333333333357587</v>
      </c>
    </row>
    <row r="363" spans="1:23" x14ac:dyDescent="0.3">
      <c r="A363" t="s">
        <v>420</v>
      </c>
      <c r="B363">
        <v>25</v>
      </c>
      <c r="C363" t="s">
        <v>41</v>
      </c>
      <c r="D363" s="2">
        <v>45418</v>
      </c>
      <c r="E363" s="2">
        <v>45541</v>
      </c>
      <c r="F363">
        <v>4</v>
      </c>
      <c r="G363" t="s">
        <v>50</v>
      </c>
      <c r="H363">
        <v>4</v>
      </c>
      <c r="I363" t="s">
        <v>71</v>
      </c>
      <c r="J363">
        <v>8621</v>
      </c>
      <c r="K363" t="s">
        <v>67</v>
      </c>
      <c r="L363" t="s">
        <v>26</v>
      </c>
      <c r="M363" t="s">
        <v>27</v>
      </c>
      <c r="N363" s="2">
        <v>45297</v>
      </c>
      <c r="O363" s="2">
        <v>45297.375</v>
      </c>
      <c r="P363" t="s">
        <v>64</v>
      </c>
      <c r="Q363" t="s">
        <v>29</v>
      </c>
      <c r="R363" t="s">
        <v>30</v>
      </c>
      <c r="S363">
        <v>6</v>
      </c>
      <c r="T363">
        <v>10</v>
      </c>
      <c r="U363" t="s">
        <v>68</v>
      </c>
      <c r="V363" t="str">
        <f t="shared" si="5"/>
        <v>May-2024</v>
      </c>
      <c r="W363" s="16">
        <f>Table1[[#This Row],[Consultation Date]] - Table1[[#This Row],[Appointment Date]]</f>
        <v>0.375</v>
      </c>
    </row>
    <row r="364" spans="1:23" x14ac:dyDescent="0.3">
      <c r="A364" t="s">
        <v>421</v>
      </c>
      <c r="B364">
        <v>24</v>
      </c>
      <c r="C364" t="s">
        <v>41</v>
      </c>
      <c r="D364" s="2">
        <v>45336</v>
      </c>
      <c r="E364" s="2">
        <v>45341</v>
      </c>
      <c r="F364">
        <v>5</v>
      </c>
      <c r="G364" t="s">
        <v>34</v>
      </c>
      <c r="H364">
        <v>5</v>
      </c>
      <c r="I364" t="s">
        <v>71</v>
      </c>
      <c r="J364">
        <v>29256</v>
      </c>
      <c r="K364" t="s">
        <v>36</v>
      </c>
      <c r="L364" t="s">
        <v>54</v>
      </c>
      <c r="M364" t="s">
        <v>41</v>
      </c>
      <c r="N364" s="2">
        <v>45567</v>
      </c>
      <c r="O364" s="2">
        <v>45567.875</v>
      </c>
      <c r="P364" t="s">
        <v>37</v>
      </c>
      <c r="Q364" t="s">
        <v>29</v>
      </c>
      <c r="R364" t="s">
        <v>43</v>
      </c>
      <c r="S364">
        <v>9</v>
      </c>
      <c r="T364">
        <v>10</v>
      </c>
      <c r="U364" t="s">
        <v>48</v>
      </c>
      <c r="V364" t="str">
        <f t="shared" si="5"/>
        <v>Feb-2024</v>
      </c>
      <c r="W364" s="16">
        <f>Table1[[#This Row],[Consultation Date]] - Table1[[#This Row],[Appointment Date]]</f>
        <v>0.875</v>
      </c>
    </row>
    <row r="365" spans="1:23" x14ac:dyDescent="0.3">
      <c r="A365" t="s">
        <v>422</v>
      </c>
      <c r="B365">
        <v>13</v>
      </c>
      <c r="C365" t="s">
        <v>52</v>
      </c>
      <c r="D365" s="2">
        <v>45089</v>
      </c>
      <c r="E365" s="2">
        <v>45211</v>
      </c>
      <c r="F365">
        <v>4</v>
      </c>
      <c r="G365" t="s">
        <v>63</v>
      </c>
      <c r="H365">
        <v>3</v>
      </c>
      <c r="I365" t="s">
        <v>35</v>
      </c>
      <c r="J365">
        <v>49433</v>
      </c>
      <c r="K365" t="s">
        <v>67</v>
      </c>
      <c r="L365" t="s">
        <v>54</v>
      </c>
      <c r="M365" t="s">
        <v>41</v>
      </c>
      <c r="N365" s="2">
        <v>44997</v>
      </c>
      <c r="O365" s="2">
        <v>44997.333333333336</v>
      </c>
      <c r="P365" t="s">
        <v>64</v>
      </c>
      <c r="Q365" t="s">
        <v>38</v>
      </c>
      <c r="R365" t="s">
        <v>43</v>
      </c>
      <c r="S365">
        <v>10</v>
      </c>
      <c r="T365">
        <v>8</v>
      </c>
      <c r="U365" t="s">
        <v>31</v>
      </c>
      <c r="V365" t="str">
        <f t="shared" si="5"/>
        <v>Jun-2023</v>
      </c>
      <c r="W365" s="16">
        <f>Table1[[#This Row],[Consultation Date]] - Table1[[#This Row],[Appointment Date]]</f>
        <v>0.33333333333575865</v>
      </c>
    </row>
    <row r="366" spans="1:23" x14ac:dyDescent="0.3">
      <c r="A366" t="s">
        <v>423</v>
      </c>
      <c r="B366">
        <v>60</v>
      </c>
      <c r="C366" t="s">
        <v>45</v>
      </c>
      <c r="D366" s="2">
        <v>44955</v>
      </c>
      <c r="E366" s="2">
        <v>45232</v>
      </c>
      <c r="F366">
        <v>13</v>
      </c>
      <c r="G366" t="s">
        <v>34</v>
      </c>
      <c r="H366">
        <v>5</v>
      </c>
      <c r="I366" t="s">
        <v>35</v>
      </c>
      <c r="J366">
        <v>16314</v>
      </c>
      <c r="K366" t="s">
        <v>60</v>
      </c>
      <c r="L366" t="s">
        <v>54</v>
      </c>
      <c r="M366" t="s">
        <v>27</v>
      </c>
      <c r="N366" s="2">
        <v>44950</v>
      </c>
      <c r="O366" s="2">
        <v>44950.666666666664</v>
      </c>
      <c r="P366" t="s">
        <v>42</v>
      </c>
      <c r="Q366" t="s">
        <v>29</v>
      </c>
      <c r="R366" t="s">
        <v>43</v>
      </c>
      <c r="S366">
        <v>10</v>
      </c>
      <c r="T366">
        <v>10</v>
      </c>
      <c r="U366" t="s">
        <v>48</v>
      </c>
      <c r="V366" t="str">
        <f t="shared" si="5"/>
        <v>Jan-2023</v>
      </c>
      <c r="W366" s="16">
        <f>Table1[[#This Row],[Consultation Date]] - Table1[[#This Row],[Appointment Date]]</f>
        <v>0.66666666666424135</v>
      </c>
    </row>
    <row r="367" spans="1:23" x14ac:dyDescent="0.3">
      <c r="A367" t="s">
        <v>424</v>
      </c>
      <c r="B367">
        <v>7</v>
      </c>
      <c r="C367" t="s">
        <v>52</v>
      </c>
      <c r="D367" s="2">
        <v>45045</v>
      </c>
      <c r="E367" s="2">
        <v>44962</v>
      </c>
      <c r="F367">
        <v>3</v>
      </c>
      <c r="G367" t="s">
        <v>63</v>
      </c>
      <c r="H367">
        <v>2</v>
      </c>
      <c r="I367" t="s">
        <v>71</v>
      </c>
      <c r="J367">
        <v>5652</v>
      </c>
      <c r="K367" t="s">
        <v>53</v>
      </c>
      <c r="L367" t="s">
        <v>26</v>
      </c>
      <c r="M367" t="s">
        <v>27</v>
      </c>
      <c r="N367" s="2">
        <v>45040</v>
      </c>
      <c r="O367" s="2">
        <v>45040.833333333336</v>
      </c>
      <c r="P367" t="s">
        <v>28</v>
      </c>
      <c r="Q367" t="s">
        <v>29</v>
      </c>
      <c r="R367" t="s">
        <v>47</v>
      </c>
      <c r="S367">
        <v>4</v>
      </c>
      <c r="T367">
        <v>12</v>
      </c>
      <c r="U367" t="s">
        <v>48</v>
      </c>
      <c r="V367" t="str">
        <f t="shared" si="5"/>
        <v>Apr-2023</v>
      </c>
      <c r="W367" s="16">
        <f>Table1[[#This Row],[Consultation Date]] - Table1[[#This Row],[Appointment Date]]</f>
        <v>0.83333333333575865</v>
      </c>
    </row>
    <row r="368" spans="1:23" x14ac:dyDescent="0.3">
      <c r="A368" t="s">
        <v>425</v>
      </c>
      <c r="B368">
        <v>57</v>
      </c>
      <c r="C368" t="s">
        <v>45</v>
      </c>
      <c r="D368" s="2">
        <v>45194</v>
      </c>
      <c r="E368" s="2">
        <v>45148</v>
      </c>
      <c r="F368">
        <v>13</v>
      </c>
      <c r="G368" t="s">
        <v>40</v>
      </c>
      <c r="H368">
        <v>3</v>
      </c>
      <c r="I368" t="s">
        <v>24</v>
      </c>
      <c r="J368">
        <v>21182</v>
      </c>
      <c r="K368" t="s">
        <v>60</v>
      </c>
      <c r="L368" t="s">
        <v>54</v>
      </c>
      <c r="M368" t="s">
        <v>27</v>
      </c>
      <c r="N368" s="2">
        <v>45194</v>
      </c>
      <c r="O368" s="2">
        <v>45194.333333333336</v>
      </c>
      <c r="P368" t="s">
        <v>55</v>
      </c>
      <c r="Q368" t="s">
        <v>29</v>
      </c>
      <c r="R368" t="s">
        <v>30</v>
      </c>
      <c r="S368">
        <v>8</v>
      </c>
      <c r="T368">
        <v>8</v>
      </c>
      <c r="U368" t="s">
        <v>48</v>
      </c>
      <c r="V368" t="str">
        <f t="shared" si="5"/>
        <v>Sep-2023</v>
      </c>
      <c r="W368" s="16">
        <f>Table1[[#This Row],[Consultation Date]] - Table1[[#This Row],[Appointment Date]]</f>
        <v>0.33333333333575865</v>
      </c>
    </row>
    <row r="369" spans="1:23" x14ac:dyDescent="0.3">
      <c r="A369" t="s">
        <v>426</v>
      </c>
      <c r="B369">
        <v>36</v>
      </c>
      <c r="C369" t="s">
        <v>45</v>
      </c>
      <c r="D369" s="2">
        <v>44964</v>
      </c>
      <c r="E369" s="2">
        <v>45114</v>
      </c>
      <c r="F369">
        <v>5</v>
      </c>
      <c r="G369" t="s">
        <v>57</v>
      </c>
      <c r="H369">
        <v>2</v>
      </c>
      <c r="I369" t="s">
        <v>66</v>
      </c>
      <c r="J369">
        <v>46580</v>
      </c>
      <c r="K369" t="s">
        <v>53</v>
      </c>
      <c r="L369" t="s">
        <v>54</v>
      </c>
      <c r="M369" t="s">
        <v>27</v>
      </c>
      <c r="N369" s="2">
        <v>45104</v>
      </c>
      <c r="O369" s="2">
        <v>45104.5</v>
      </c>
      <c r="P369" t="s">
        <v>42</v>
      </c>
      <c r="Q369" t="s">
        <v>29</v>
      </c>
      <c r="R369" t="s">
        <v>43</v>
      </c>
      <c r="S369">
        <v>11</v>
      </c>
      <c r="T369">
        <v>10</v>
      </c>
      <c r="U369" t="s">
        <v>31</v>
      </c>
      <c r="V369" t="str">
        <f t="shared" si="5"/>
        <v>Feb-2023</v>
      </c>
      <c r="W369" s="16">
        <f>Table1[[#This Row],[Consultation Date]] - Table1[[#This Row],[Appointment Date]]</f>
        <v>0.5</v>
      </c>
    </row>
    <row r="370" spans="1:23" x14ac:dyDescent="0.3">
      <c r="A370" t="s">
        <v>427</v>
      </c>
      <c r="B370">
        <v>45</v>
      </c>
      <c r="C370" t="s">
        <v>62</v>
      </c>
      <c r="D370" s="2">
        <v>45198</v>
      </c>
      <c r="E370" s="2">
        <v>45026</v>
      </c>
      <c r="F370">
        <v>5</v>
      </c>
      <c r="G370" t="s">
        <v>63</v>
      </c>
      <c r="H370">
        <v>2</v>
      </c>
      <c r="I370" t="s">
        <v>35</v>
      </c>
      <c r="J370">
        <v>41558</v>
      </c>
      <c r="K370" t="s">
        <v>36</v>
      </c>
      <c r="L370" t="s">
        <v>54</v>
      </c>
      <c r="M370" t="s">
        <v>27</v>
      </c>
      <c r="N370" s="2">
        <v>45197</v>
      </c>
      <c r="O370" s="2">
        <v>45198</v>
      </c>
      <c r="P370" t="s">
        <v>28</v>
      </c>
      <c r="Q370" t="s">
        <v>29</v>
      </c>
      <c r="R370" t="s">
        <v>47</v>
      </c>
      <c r="S370">
        <v>7</v>
      </c>
      <c r="T370">
        <v>10</v>
      </c>
      <c r="U370" t="s">
        <v>68</v>
      </c>
      <c r="V370" t="str">
        <f t="shared" si="5"/>
        <v>Sep-2023</v>
      </c>
      <c r="W370" s="16">
        <f>Table1[[#This Row],[Consultation Date]] - Table1[[#This Row],[Appointment Date]]</f>
        <v>1</v>
      </c>
    </row>
    <row r="371" spans="1:23" x14ac:dyDescent="0.3">
      <c r="A371" t="s">
        <v>428</v>
      </c>
      <c r="B371">
        <v>20</v>
      </c>
      <c r="C371" t="s">
        <v>41</v>
      </c>
      <c r="D371" s="2">
        <v>45171</v>
      </c>
      <c r="E371" s="2">
        <v>44972</v>
      </c>
      <c r="F371">
        <v>6</v>
      </c>
      <c r="G371" t="s">
        <v>50</v>
      </c>
      <c r="H371">
        <v>3</v>
      </c>
      <c r="I371" t="s">
        <v>24</v>
      </c>
      <c r="J371">
        <v>20659</v>
      </c>
      <c r="K371" t="s">
        <v>53</v>
      </c>
      <c r="L371" t="s">
        <v>54</v>
      </c>
      <c r="M371" t="s">
        <v>27</v>
      </c>
      <c r="N371" s="2">
        <v>45048</v>
      </c>
      <c r="O371" s="2">
        <v>45079.875</v>
      </c>
      <c r="P371" t="s">
        <v>42</v>
      </c>
      <c r="Q371" t="s">
        <v>29</v>
      </c>
      <c r="R371" t="s">
        <v>43</v>
      </c>
      <c r="S371">
        <v>6</v>
      </c>
      <c r="T371">
        <v>12</v>
      </c>
      <c r="U371" t="s">
        <v>48</v>
      </c>
      <c r="V371" t="str">
        <f t="shared" si="5"/>
        <v>Sep-2023</v>
      </c>
      <c r="W371" s="16">
        <f>Table1[[#This Row],[Consultation Date]] - Table1[[#This Row],[Appointment Date]]</f>
        <v>31.875</v>
      </c>
    </row>
    <row r="372" spans="1:23" x14ac:dyDescent="0.3">
      <c r="A372" t="s">
        <v>429</v>
      </c>
      <c r="B372">
        <v>65</v>
      </c>
      <c r="C372" t="s">
        <v>33</v>
      </c>
      <c r="D372" s="2">
        <v>45038</v>
      </c>
      <c r="E372" s="2">
        <v>45040</v>
      </c>
      <c r="F372">
        <v>2</v>
      </c>
      <c r="G372" t="s">
        <v>34</v>
      </c>
      <c r="H372">
        <v>1</v>
      </c>
      <c r="I372" t="s">
        <v>46</v>
      </c>
      <c r="J372">
        <v>39413</v>
      </c>
      <c r="K372" t="s">
        <v>53</v>
      </c>
      <c r="L372" t="s">
        <v>26</v>
      </c>
      <c r="M372" t="s">
        <v>27</v>
      </c>
      <c r="N372" s="2">
        <v>45037</v>
      </c>
      <c r="O372" s="2">
        <v>45037.416666666664</v>
      </c>
      <c r="P372" t="s">
        <v>37</v>
      </c>
      <c r="Q372" t="s">
        <v>29</v>
      </c>
      <c r="R372" t="s">
        <v>30</v>
      </c>
      <c r="S372">
        <v>7</v>
      </c>
      <c r="T372">
        <v>8</v>
      </c>
      <c r="U372" t="s">
        <v>68</v>
      </c>
      <c r="V372" t="str">
        <f t="shared" si="5"/>
        <v>Apr-2023</v>
      </c>
      <c r="W372" s="16">
        <f>Table1[[#This Row],[Consultation Date]] - Table1[[#This Row],[Appointment Date]]</f>
        <v>0.41666666666424135</v>
      </c>
    </row>
    <row r="373" spans="1:23" x14ac:dyDescent="0.3">
      <c r="A373" t="s">
        <v>430</v>
      </c>
      <c r="B373">
        <v>8</v>
      </c>
      <c r="C373" t="s">
        <v>45</v>
      </c>
      <c r="D373" s="2">
        <v>45371</v>
      </c>
      <c r="E373" s="2">
        <v>45372</v>
      </c>
      <c r="F373">
        <v>1</v>
      </c>
      <c r="G373" t="s">
        <v>40</v>
      </c>
      <c r="H373">
        <v>3</v>
      </c>
      <c r="I373" t="s">
        <v>35</v>
      </c>
      <c r="J373">
        <v>15435</v>
      </c>
      <c r="K373" t="s">
        <v>53</v>
      </c>
      <c r="L373" t="s">
        <v>26</v>
      </c>
      <c r="M373" t="s">
        <v>27</v>
      </c>
      <c r="N373" s="2">
        <v>45367</v>
      </c>
      <c r="O373" s="2">
        <v>45368.375</v>
      </c>
      <c r="P373" t="s">
        <v>64</v>
      </c>
      <c r="Q373" t="s">
        <v>29</v>
      </c>
      <c r="R373" t="s">
        <v>47</v>
      </c>
      <c r="S373">
        <v>10</v>
      </c>
      <c r="T373">
        <v>10</v>
      </c>
      <c r="U373" t="s">
        <v>31</v>
      </c>
      <c r="V373" t="str">
        <f t="shared" si="5"/>
        <v>Mar-2024</v>
      </c>
      <c r="W373" s="16">
        <f>Table1[[#This Row],[Consultation Date]] - Table1[[#This Row],[Appointment Date]]</f>
        <v>1.375</v>
      </c>
    </row>
    <row r="374" spans="1:23" x14ac:dyDescent="0.3">
      <c r="A374" t="s">
        <v>431</v>
      </c>
      <c r="B374">
        <v>16</v>
      </c>
      <c r="C374" t="s">
        <v>62</v>
      </c>
      <c r="D374" s="2">
        <v>45280</v>
      </c>
      <c r="E374" s="2">
        <v>45288</v>
      </c>
      <c r="F374">
        <v>8</v>
      </c>
      <c r="G374" t="s">
        <v>50</v>
      </c>
      <c r="H374">
        <v>1</v>
      </c>
      <c r="I374" t="s">
        <v>24</v>
      </c>
      <c r="J374">
        <v>33067</v>
      </c>
      <c r="K374" t="s">
        <v>67</v>
      </c>
      <c r="L374" t="s">
        <v>54</v>
      </c>
      <c r="M374" t="s">
        <v>27</v>
      </c>
      <c r="N374" s="2">
        <v>45278</v>
      </c>
      <c r="O374" s="2">
        <v>45279.041666666664</v>
      </c>
      <c r="P374" t="s">
        <v>55</v>
      </c>
      <c r="Q374" t="s">
        <v>29</v>
      </c>
      <c r="R374" t="s">
        <v>43</v>
      </c>
      <c r="S374">
        <v>5</v>
      </c>
      <c r="T374">
        <v>10</v>
      </c>
      <c r="U374" t="s">
        <v>68</v>
      </c>
      <c r="V374" t="str">
        <f t="shared" si="5"/>
        <v>Dec-2023</v>
      </c>
      <c r="W374" s="16">
        <f>Table1[[#This Row],[Consultation Date]] - Table1[[#This Row],[Appointment Date]]</f>
        <v>1.0416666666642413</v>
      </c>
    </row>
    <row r="375" spans="1:23" x14ac:dyDescent="0.3">
      <c r="A375" t="s">
        <v>432</v>
      </c>
      <c r="B375">
        <v>14</v>
      </c>
      <c r="C375" t="s">
        <v>41</v>
      </c>
      <c r="D375" s="2">
        <v>45248</v>
      </c>
      <c r="E375" s="2">
        <v>45260</v>
      </c>
      <c r="F375">
        <v>12</v>
      </c>
      <c r="G375" t="s">
        <v>40</v>
      </c>
      <c r="H375">
        <v>5</v>
      </c>
      <c r="I375" t="s">
        <v>24</v>
      </c>
      <c r="J375">
        <v>27258</v>
      </c>
      <c r="K375" t="s">
        <v>67</v>
      </c>
      <c r="L375" t="s">
        <v>54</v>
      </c>
      <c r="M375" t="s">
        <v>27</v>
      </c>
      <c r="N375" s="2">
        <v>45243</v>
      </c>
      <c r="O375" s="2">
        <v>45244.125</v>
      </c>
      <c r="P375" t="s">
        <v>28</v>
      </c>
      <c r="Q375" t="s">
        <v>29</v>
      </c>
      <c r="R375" t="s">
        <v>43</v>
      </c>
      <c r="S375">
        <v>6</v>
      </c>
      <c r="T375">
        <v>12</v>
      </c>
      <c r="U375" t="s">
        <v>48</v>
      </c>
      <c r="V375" t="str">
        <f t="shared" si="5"/>
        <v>Nov-2023</v>
      </c>
      <c r="W375" s="16">
        <f>Table1[[#This Row],[Consultation Date]] - Table1[[#This Row],[Appointment Date]]</f>
        <v>1.125</v>
      </c>
    </row>
    <row r="376" spans="1:23" x14ac:dyDescent="0.3">
      <c r="A376" t="s">
        <v>433</v>
      </c>
      <c r="B376">
        <v>76</v>
      </c>
      <c r="C376" t="s">
        <v>33</v>
      </c>
      <c r="D376" s="2">
        <v>45373</v>
      </c>
      <c r="E376" s="2">
        <v>45380</v>
      </c>
      <c r="F376">
        <v>7</v>
      </c>
      <c r="G376" t="s">
        <v>57</v>
      </c>
      <c r="H376">
        <v>5</v>
      </c>
      <c r="I376" t="s">
        <v>66</v>
      </c>
      <c r="J376">
        <v>33287</v>
      </c>
      <c r="K376" t="s">
        <v>36</v>
      </c>
      <c r="L376" t="s">
        <v>54</v>
      </c>
      <c r="M376" t="s">
        <v>41</v>
      </c>
      <c r="N376" s="2">
        <v>45370</v>
      </c>
      <c r="O376" s="2">
        <v>45371.625</v>
      </c>
      <c r="P376" t="s">
        <v>55</v>
      </c>
      <c r="Q376" t="s">
        <v>29</v>
      </c>
      <c r="R376" t="s">
        <v>43</v>
      </c>
      <c r="S376">
        <v>11</v>
      </c>
      <c r="T376">
        <v>8</v>
      </c>
      <c r="U376" t="s">
        <v>48</v>
      </c>
      <c r="V376" t="str">
        <f t="shared" si="5"/>
        <v>Mar-2024</v>
      </c>
      <c r="W376" s="16">
        <f>Table1[[#This Row],[Consultation Date]] - Table1[[#This Row],[Appointment Date]]</f>
        <v>1.625</v>
      </c>
    </row>
    <row r="377" spans="1:23" x14ac:dyDescent="0.3">
      <c r="A377" t="s">
        <v>434</v>
      </c>
      <c r="B377">
        <v>87</v>
      </c>
      <c r="C377" t="s">
        <v>45</v>
      </c>
      <c r="D377" s="2">
        <v>45479</v>
      </c>
      <c r="E377" s="2">
        <v>45571</v>
      </c>
      <c r="F377">
        <v>3</v>
      </c>
      <c r="G377" t="s">
        <v>34</v>
      </c>
      <c r="H377">
        <v>3</v>
      </c>
      <c r="I377" t="s">
        <v>66</v>
      </c>
      <c r="J377">
        <v>8688</v>
      </c>
      <c r="K377" t="s">
        <v>53</v>
      </c>
      <c r="L377" t="s">
        <v>54</v>
      </c>
      <c r="M377" t="s">
        <v>27</v>
      </c>
      <c r="N377" s="2">
        <v>45357</v>
      </c>
      <c r="O377" s="2">
        <v>45357.375</v>
      </c>
      <c r="P377" t="s">
        <v>55</v>
      </c>
      <c r="Q377" t="s">
        <v>29</v>
      </c>
      <c r="R377" t="s">
        <v>30</v>
      </c>
      <c r="S377">
        <v>11</v>
      </c>
      <c r="T377">
        <v>8</v>
      </c>
      <c r="U377" t="s">
        <v>48</v>
      </c>
      <c r="V377" t="str">
        <f t="shared" si="5"/>
        <v>Jul-2024</v>
      </c>
      <c r="W377" s="16">
        <f>Table1[[#This Row],[Consultation Date]] - Table1[[#This Row],[Appointment Date]]</f>
        <v>0.375</v>
      </c>
    </row>
    <row r="378" spans="1:23" x14ac:dyDescent="0.3">
      <c r="A378" t="s">
        <v>435</v>
      </c>
      <c r="B378">
        <v>15</v>
      </c>
      <c r="C378" t="s">
        <v>45</v>
      </c>
      <c r="D378" s="2">
        <v>45045</v>
      </c>
      <c r="E378" s="2">
        <v>44962</v>
      </c>
      <c r="F378">
        <v>3</v>
      </c>
      <c r="G378" t="s">
        <v>23</v>
      </c>
      <c r="H378">
        <v>5</v>
      </c>
      <c r="I378" t="s">
        <v>46</v>
      </c>
      <c r="J378">
        <v>12689</v>
      </c>
      <c r="K378" t="s">
        <v>25</v>
      </c>
      <c r="L378" t="s">
        <v>54</v>
      </c>
      <c r="M378" t="s">
        <v>41</v>
      </c>
      <c r="N378" s="2">
        <v>45042</v>
      </c>
      <c r="O378" s="2">
        <v>45043.541666666664</v>
      </c>
      <c r="P378" t="s">
        <v>55</v>
      </c>
      <c r="Q378" t="s">
        <v>29</v>
      </c>
      <c r="R378" t="s">
        <v>47</v>
      </c>
      <c r="S378">
        <v>10</v>
      </c>
      <c r="T378">
        <v>8</v>
      </c>
      <c r="U378" t="s">
        <v>48</v>
      </c>
      <c r="V378" t="str">
        <f t="shared" si="5"/>
        <v>Apr-2023</v>
      </c>
      <c r="W378" s="16">
        <f>Table1[[#This Row],[Consultation Date]] - Table1[[#This Row],[Appointment Date]]</f>
        <v>1.5416666666642413</v>
      </c>
    </row>
    <row r="379" spans="1:23" x14ac:dyDescent="0.3">
      <c r="A379" t="s">
        <v>436</v>
      </c>
      <c r="B379">
        <v>66</v>
      </c>
      <c r="C379" t="s">
        <v>52</v>
      </c>
      <c r="D379" s="2">
        <v>45321</v>
      </c>
      <c r="E379" s="2">
        <v>45445</v>
      </c>
      <c r="F379">
        <v>7</v>
      </c>
      <c r="G379" t="s">
        <v>34</v>
      </c>
      <c r="H379">
        <v>4</v>
      </c>
      <c r="I379" t="s">
        <v>24</v>
      </c>
      <c r="J379">
        <v>6379</v>
      </c>
      <c r="K379" t="s">
        <v>36</v>
      </c>
      <c r="L379" t="s">
        <v>54</v>
      </c>
      <c r="M379" t="s">
        <v>41</v>
      </c>
      <c r="N379" s="2">
        <v>45319</v>
      </c>
      <c r="O379" s="2">
        <v>45320.041666666664</v>
      </c>
      <c r="P379" t="s">
        <v>28</v>
      </c>
      <c r="Q379" t="s">
        <v>29</v>
      </c>
      <c r="R379" t="s">
        <v>47</v>
      </c>
      <c r="S379">
        <v>8</v>
      </c>
      <c r="T379">
        <v>8</v>
      </c>
      <c r="U379" t="s">
        <v>48</v>
      </c>
      <c r="V379" t="str">
        <f t="shared" si="5"/>
        <v>Jan-2024</v>
      </c>
      <c r="W379" s="16">
        <f>Table1[[#This Row],[Consultation Date]] - Table1[[#This Row],[Appointment Date]]</f>
        <v>1.0416666666642413</v>
      </c>
    </row>
    <row r="380" spans="1:23" x14ac:dyDescent="0.3">
      <c r="A380" t="s">
        <v>437</v>
      </c>
      <c r="B380">
        <v>32</v>
      </c>
      <c r="C380" t="s">
        <v>52</v>
      </c>
      <c r="D380" s="2">
        <v>45121</v>
      </c>
      <c r="E380" s="2">
        <v>45130</v>
      </c>
      <c r="F380">
        <v>9</v>
      </c>
      <c r="G380" t="s">
        <v>57</v>
      </c>
      <c r="H380">
        <v>2</v>
      </c>
      <c r="I380" t="s">
        <v>24</v>
      </c>
      <c r="J380">
        <v>42011</v>
      </c>
      <c r="K380" t="s">
        <v>53</v>
      </c>
      <c r="L380" t="s">
        <v>54</v>
      </c>
      <c r="M380" t="s">
        <v>27</v>
      </c>
      <c r="N380" s="2">
        <v>45120</v>
      </c>
      <c r="O380" s="2">
        <v>45121.166666666664</v>
      </c>
      <c r="P380" t="s">
        <v>28</v>
      </c>
      <c r="Q380" t="s">
        <v>29</v>
      </c>
      <c r="R380" t="s">
        <v>47</v>
      </c>
      <c r="S380">
        <v>6</v>
      </c>
      <c r="T380">
        <v>12</v>
      </c>
      <c r="U380" t="s">
        <v>48</v>
      </c>
      <c r="V380" t="str">
        <f t="shared" si="5"/>
        <v>Jul-2023</v>
      </c>
      <c r="W380" s="16">
        <f>Table1[[#This Row],[Consultation Date]] - Table1[[#This Row],[Appointment Date]]</f>
        <v>1.1666666666642413</v>
      </c>
    </row>
    <row r="381" spans="1:23" x14ac:dyDescent="0.3">
      <c r="A381" t="s">
        <v>438</v>
      </c>
      <c r="B381">
        <v>87</v>
      </c>
      <c r="C381" t="s">
        <v>41</v>
      </c>
      <c r="D381" s="2">
        <v>45187</v>
      </c>
      <c r="E381" s="2">
        <v>45199</v>
      </c>
      <c r="F381">
        <v>12</v>
      </c>
      <c r="G381" t="s">
        <v>34</v>
      </c>
      <c r="H381">
        <v>2</v>
      </c>
      <c r="I381" t="s">
        <v>66</v>
      </c>
      <c r="J381">
        <v>48005</v>
      </c>
      <c r="K381" t="s">
        <v>53</v>
      </c>
      <c r="L381" t="s">
        <v>54</v>
      </c>
      <c r="M381" t="s">
        <v>27</v>
      </c>
      <c r="N381" s="2">
        <v>45184</v>
      </c>
      <c r="O381" s="2">
        <v>45184.5</v>
      </c>
      <c r="P381" t="s">
        <v>55</v>
      </c>
      <c r="Q381" t="s">
        <v>29</v>
      </c>
      <c r="R381" t="s">
        <v>43</v>
      </c>
      <c r="S381">
        <v>10</v>
      </c>
      <c r="T381">
        <v>10</v>
      </c>
      <c r="U381" t="s">
        <v>31</v>
      </c>
      <c r="V381" t="str">
        <f t="shared" si="5"/>
        <v>Sep-2023</v>
      </c>
      <c r="W381" s="16">
        <f>Table1[[#This Row],[Consultation Date]] - Table1[[#This Row],[Appointment Date]]</f>
        <v>0.5</v>
      </c>
    </row>
    <row r="382" spans="1:23" x14ac:dyDescent="0.3">
      <c r="A382" t="s">
        <v>439</v>
      </c>
      <c r="B382">
        <v>63</v>
      </c>
      <c r="C382" t="s">
        <v>33</v>
      </c>
      <c r="D382" s="2">
        <v>44972</v>
      </c>
      <c r="E382" s="2">
        <v>44976</v>
      </c>
      <c r="F382">
        <v>4</v>
      </c>
      <c r="G382" t="s">
        <v>23</v>
      </c>
      <c r="H382">
        <v>1</v>
      </c>
      <c r="I382" t="s">
        <v>35</v>
      </c>
      <c r="J382">
        <v>32624</v>
      </c>
      <c r="K382" t="s">
        <v>67</v>
      </c>
      <c r="L382" t="s">
        <v>26</v>
      </c>
      <c r="M382" t="s">
        <v>27</v>
      </c>
      <c r="N382" s="2">
        <v>45232</v>
      </c>
      <c r="O382" s="2">
        <v>45262.333333333336</v>
      </c>
      <c r="P382" t="s">
        <v>64</v>
      </c>
      <c r="Q382" t="s">
        <v>29</v>
      </c>
      <c r="R382" t="s">
        <v>47</v>
      </c>
      <c r="S382">
        <v>8</v>
      </c>
      <c r="T382">
        <v>10</v>
      </c>
      <c r="U382" t="s">
        <v>31</v>
      </c>
      <c r="V382" t="str">
        <f t="shared" si="5"/>
        <v>Feb-2023</v>
      </c>
      <c r="W382" s="16">
        <f>Table1[[#This Row],[Consultation Date]] - Table1[[#This Row],[Appointment Date]]</f>
        <v>30.333333333335759</v>
      </c>
    </row>
    <row r="383" spans="1:23" x14ac:dyDescent="0.3">
      <c r="A383" t="s">
        <v>440</v>
      </c>
      <c r="B383">
        <v>86</v>
      </c>
      <c r="C383" t="s">
        <v>45</v>
      </c>
      <c r="D383" s="2">
        <v>45373</v>
      </c>
      <c r="E383" s="2">
        <v>45382</v>
      </c>
      <c r="F383">
        <v>9</v>
      </c>
      <c r="G383" t="s">
        <v>63</v>
      </c>
      <c r="H383">
        <v>5</v>
      </c>
      <c r="I383" t="s">
        <v>35</v>
      </c>
      <c r="J383">
        <v>30964</v>
      </c>
      <c r="K383" t="s">
        <v>36</v>
      </c>
      <c r="L383" t="s">
        <v>54</v>
      </c>
      <c r="M383" t="s">
        <v>27</v>
      </c>
      <c r="N383" s="2">
        <v>45371</v>
      </c>
      <c r="O383" s="2">
        <v>45372.708333333336</v>
      </c>
      <c r="P383" t="s">
        <v>42</v>
      </c>
      <c r="Q383" t="s">
        <v>29</v>
      </c>
      <c r="R383" t="s">
        <v>43</v>
      </c>
      <c r="S383">
        <v>5</v>
      </c>
      <c r="T383">
        <v>8</v>
      </c>
      <c r="U383" t="s">
        <v>31</v>
      </c>
      <c r="V383" t="str">
        <f t="shared" si="5"/>
        <v>Mar-2024</v>
      </c>
      <c r="W383" s="16">
        <f>Table1[[#This Row],[Consultation Date]] - Table1[[#This Row],[Appointment Date]]</f>
        <v>1.7083333333357587</v>
      </c>
    </row>
    <row r="384" spans="1:23" x14ac:dyDescent="0.3">
      <c r="A384" t="s">
        <v>441</v>
      </c>
      <c r="B384">
        <v>51</v>
      </c>
      <c r="C384" t="s">
        <v>41</v>
      </c>
      <c r="D384" s="2">
        <v>44958</v>
      </c>
      <c r="E384" s="2">
        <v>45231</v>
      </c>
      <c r="F384">
        <v>9</v>
      </c>
      <c r="G384" t="s">
        <v>40</v>
      </c>
      <c r="H384">
        <v>1</v>
      </c>
      <c r="I384" t="s">
        <v>71</v>
      </c>
      <c r="J384">
        <v>27891</v>
      </c>
      <c r="K384" t="s">
        <v>53</v>
      </c>
      <c r="L384" t="s">
        <v>54</v>
      </c>
      <c r="M384" t="s">
        <v>27</v>
      </c>
      <c r="N384" s="2">
        <v>44924</v>
      </c>
      <c r="O384" s="2">
        <v>44925.458333333336</v>
      </c>
      <c r="P384" t="s">
        <v>55</v>
      </c>
      <c r="Q384" t="s">
        <v>29</v>
      </c>
      <c r="R384" t="s">
        <v>30</v>
      </c>
      <c r="S384">
        <v>8</v>
      </c>
      <c r="T384">
        <v>8</v>
      </c>
      <c r="U384" t="s">
        <v>68</v>
      </c>
      <c r="V384" t="str">
        <f t="shared" si="5"/>
        <v>Feb-2023</v>
      </c>
      <c r="W384" s="16">
        <f>Table1[[#This Row],[Consultation Date]] - Table1[[#This Row],[Appointment Date]]</f>
        <v>1.4583333333357587</v>
      </c>
    </row>
    <row r="385" spans="1:23" x14ac:dyDescent="0.3">
      <c r="A385" t="s">
        <v>442</v>
      </c>
      <c r="B385">
        <v>25</v>
      </c>
      <c r="C385" t="s">
        <v>41</v>
      </c>
      <c r="D385" s="2">
        <v>45459</v>
      </c>
      <c r="E385" s="2">
        <v>45473</v>
      </c>
      <c r="F385">
        <v>14</v>
      </c>
      <c r="G385" t="s">
        <v>23</v>
      </c>
      <c r="H385">
        <v>2</v>
      </c>
      <c r="I385" t="s">
        <v>66</v>
      </c>
      <c r="J385">
        <v>43379</v>
      </c>
      <c r="K385" t="s">
        <v>53</v>
      </c>
      <c r="L385" t="s">
        <v>26</v>
      </c>
      <c r="M385" t="s">
        <v>41</v>
      </c>
      <c r="N385" s="2">
        <v>45457</v>
      </c>
      <c r="O385" s="2">
        <v>45458.875</v>
      </c>
      <c r="P385" t="s">
        <v>37</v>
      </c>
      <c r="Q385" t="s">
        <v>38</v>
      </c>
      <c r="R385" t="s">
        <v>47</v>
      </c>
      <c r="S385">
        <v>7</v>
      </c>
      <c r="T385">
        <v>8</v>
      </c>
      <c r="U385" t="s">
        <v>68</v>
      </c>
      <c r="V385" t="str">
        <f t="shared" si="5"/>
        <v>Jun-2024</v>
      </c>
      <c r="W385" s="16">
        <f>Table1[[#This Row],[Consultation Date]] - Table1[[#This Row],[Appointment Date]]</f>
        <v>1.875</v>
      </c>
    </row>
    <row r="386" spans="1:23" x14ac:dyDescent="0.3">
      <c r="A386" t="s">
        <v>443</v>
      </c>
      <c r="B386">
        <v>58</v>
      </c>
      <c r="C386" t="s">
        <v>22</v>
      </c>
      <c r="D386" s="2">
        <v>45128</v>
      </c>
      <c r="E386" s="2">
        <v>44934</v>
      </c>
      <c r="F386">
        <v>11</v>
      </c>
      <c r="G386" t="s">
        <v>50</v>
      </c>
      <c r="H386">
        <v>2</v>
      </c>
      <c r="I386" t="s">
        <v>71</v>
      </c>
      <c r="J386">
        <v>17516</v>
      </c>
      <c r="K386" t="s">
        <v>36</v>
      </c>
      <c r="L386" t="s">
        <v>26</v>
      </c>
      <c r="M386" t="s">
        <v>27</v>
      </c>
      <c r="N386" s="2">
        <v>45123</v>
      </c>
      <c r="O386" s="2">
        <v>45124.75</v>
      </c>
      <c r="P386" t="s">
        <v>55</v>
      </c>
      <c r="Q386" t="s">
        <v>29</v>
      </c>
      <c r="R386" t="s">
        <v>43</v>
      </c>
      <c r="S386">
        <v>4</v>
      </c>
      <c r="T386">
        <v>10</v>
      </c>
      <c r="U386" t="s">
        <v>31</v>
      </c>
      <c r="V386" t="str">
        <f t="shared" ref="V386:V449" si="6">TEXT(D386,"mmm-yyyy")</f>
        <v>Jul-2023</v>
      </c>
      <c r="W386" s="16">
        <f>Table1[[#This Row],[Consultation Date]] - Table1[[#This Row],[Appointment Date]]</f>
        <v>1.75</v>
      </c>
    </row>
    <row r="387" spans="1:23" x14ac:dyDescent="0.3">
      <c r="A387" t="s">
        <v>444</v>
      </c>
      <c r="B387">
        <v>63</v>
      </c>
      <c r="C387" t="s">
        <v>52</v>
      </c>
      <c r="D387" s="2">
        <v>45505</v>
      </c>
      <c r="E387" s="2">
        <v>45312</v>
      </c>
      <c r="F387">
        <v>13</v>
      </c>
      <c r="G387" t="s">
        <v>57</v>
      </c>
      <c r="H387">
        <v>5</v>
      </c>
      <c r="I387" t="s">
        <v>66</v>
      </c>
      <c r="J387">
        <v>18886</v>
      </c>
      <c r="K387" t="s">
        <v>25</v>
      </c>
      <c r="L387" t="s">
        <v>54</v>
      </c>
      <c r="M387" t="s">
        <v>27</v>
      </c>
      <c r="N387" s="2">
        <v>45352</v>
      </c>
      <c r="O387" s="2">
        <v>45352.5</v>
      </c>
      <c r="P387" t="s">
        <v>28</v>
      </c>
      <c r="Q387" t="s">
        <v>29</v>
      </c>
      <c r="R387" t="s">
        <v>47</v>
      </c>
      <c r="S387">
        <v>7</v>
      </c>
      <c r="T387">
        <v>10</v>
      </c>
      <c r="U387" t="s">
        <v>68</v>
      </c>
      <c r="V387" t="str">
        <f t="shared" si="6"/>
        <v>Aug-2024</v>
      </c>
      <c r="W387" s="16">
        <f>Table1[[#This Row],[Consultation Date]] - Table1[[#This Row],[Appointment Date]]</f>
        <v>0.5</v>
      </c>
    </row>
    <row r="388" spans="1:23" x14ac:dyDescent="0.3">
      <c r="A388" t="s">
        <v>445</v>
      </c>
      <c r="B388">
        <v>62</v>
      </c>
      <c r="C388" t="s">
        <v>33</v>
      </c>
      <c r="D388" s="2">
        <v>45368</v>
      </c>
      <c r="E388" s="2">
        <v>45374</v>
      </c>
      <c r="F388">
        <v>6</v>
      </c>
      <c r="G388" t="s">
        <v>63</v>
      </c>
      <c r="H388">
        <v>4</v>
      </c>
      <c r="I388" t="s">
        <v>46</v>
      </c>
      <c r="J388">
        <v>25307</v>
      </c>
      <c r="K388" t="s">
        <v>36</v>
      </c>
      <c r="L388" t="s">
        <v>54</v>
      </c>
      <c r="M388" t="s">
        <v>27</v>
      </c>
      <c r="N388" s="2">
        <v>45629</v>
      </c>
      <c r="O388" s="2">
        <v>45364.5</v>
      </c>
      <c r="P388" t="s">
        <v>42</v>
      </c>
      <c r="Q388" t="s">
        <v>29</v>
      </c>
      <c r="R388" t="s">
        <v>47</v>
      </c>
      <c r="S388">
        <v>11</v>
      </c>
      <c r="T388">
        <v>8</v>
      </c>
      <c r="U388" t="s">
        <v>68</v>
      </c>
      <c r="V388" t="str">
        <f t="shared" si="6"/>
        <v>Mar-2024</v>
      </c>
      <c r="W388" s="16">
        <f>Table1[[#This Row],[Consultation Date]] - Table1[[#This Row],[Appointment Date]]</f>
        <v>-264.5</v>
      </c>
    </row>
    <row r="389" spans="1:23" x14ac:dyDescent="0.3">
      <c r="A389" t="s">
        <v>446</v>
      </c>
      <c r="B389">
        <v>22</v>
      </c>
      <c r="C389" t="s">
        <v>45</v>
      </c>
      <c r="D389" s="2">
        <v>44998</v>
      </c>
      <c r="E389" s="2">
        <v>45000</v>
      </c>
      <c r="F389">
        <v>2</v>
      </c>
      <c r="G389" t="s">
        <v>50</v>
      </c>
      <c r="H389">
        <v>4</v>
      </c>
      <c r="I389" t="s">
        <v>24</v>
      </c>
      <c r="J389">
        <v>29843</v>
      </c>
      <c r="K389" t="s">
        <v>36</v>
      </c>
      <c r="L389" t="s">
        <v>26</v>
      </c>
      <c r="M389" t="s">
        <v>27</v>
      </c>
      <c r="N389" s="2">
        <v>45141</v>
      </c>
      <c r="O389" s="2">
        <v>45141.458333333336</v>
      </c>
      <c r="P389" t="s">
        <v>37</v>
      </c>
      <c r="Q389" t="s">
        <v>29</v>
      </c>
      <c r="R389" t="s">
        <v>30</v>
      </c>
      <c r="S389">
        <v>10</v>
      </c>
      <c r="T389">
        <v>12</v>
      </c>
      <c r="U389" t="s">
        <v>48</v>
      </c>
      <c r="V389" t="str">
        <f t="shared" si="6"/>
        <v>Mar-2023</v>
      </c>
      <c r="W389" s="16">
        <f>Table1[[#This Row],[Consultation Date]] - Table1[[#This Row],[Appointment Date]]</f>
        <v>0.45833333333575865</v>
      </c>
    </row>
    <row r="390" spans="1:23" x14ac:dyDescent="0.3">
      <c r="A390" t="s">
        <v>447</v>
      </c>
      <c r="B390">
        <v>58</v>
      </c>
      <c r="C390" t="s">
        <v>41</v>
      </c>
      <c r="D390" s="2">
        <v>45058</v>
      </c>
      <c r="E390" s="2">
        <v>45272</v>
      </c>
      <c r="F390">
        <v>7</v>
      </c>
      <c r="G390" t="s">
        <v>50</v>
      </c>
      <c r="H390">
        <v>5</v>
      </c>
      <c r="I390" t="s">
        <v>46</v>
      </c>
      <c r="J390">
        <v>10912</v>
      </c>
      <c r="K390" t="s">
        <v>25</v>
      </c>
      <c r="L390" t="s">
        <v>54</v>
      </c>
      <c r="M390" t="s">
        <v>41</v>
      </c>
      <c r="N390" s="2">
        <v>45260</v>
      </c>
      <c r="O390" s="2">
        <v>44938.333333333336</v>
      </c>
      <c r="P390" t="s">
        <v>42</v>
      </c>
      <c r="Q390" t="s">
        <v>29</v>
      </c>
      <c r="R390" t="s">
        <v>47</v>
      </c>
      <c r="S390">
        <v>10</v>
      </c>
      <c r="T390">
        <v>10</v>
      </c>
      <c r="U390" t="s">
        <v>48</v>
      </c>
      <c r="V390" t="str">
        <f t="shared" si="6"/>
        <v>May-2023</v>
      </c>
      <c r="W390" s="16">
        <f>Table1[[#This Row],[Consultation Date]] - Table1[[#This Row],[Appointment Date]]</f>
        <v>-321.66666666666424</v>
      </c>
    </row>
    <row r="391" spans="1:23" x14ac:dyDescent="0.3">
      <c r="A391" t="s">
        <v>448</v>
      </c>
      <c r="B391">
        <v>58</v>
      </c>
      <c r="C391" t="s">
        <v>45</v>
      </c>
      <c r="D391" s="2">
        <v>45248</v>
      </c>
      <c r="E391" s="2">
        <v>44969</v>
      </c>
      <c r="F391">
        <v>14</v>
      </c>
      <c r="G391" t="s">
        <v>57</v>
      </c>
      <c r="H391">
        <v>5</v>
      </c>
      <c r="I391" t="s">
        <v>66</v>
      </c>
      <c r="J391">
        <v>26514</v>
      </c>
      <c r="K391" t="s">
        <v>36</v>
      </c>
      <c r="L391" t="s">
        <v>54</v>
      </c>
      <c r="M391" t="s">
        <v>27</v>
      </c>
      <c r="N391" s="2">
        <v>45246</v>
      </c>
      <c r="O391" s="2">
        <v>45246.791666666664</v>
      </c>
      <c r="P391" t="s">
        <v>42</v>
      </c>
      <c r="Q391" t="s">
        <v>29</v>
      </c>
      <c r="R391" t="s">
        <v>30</v>
      </c>
      <c r="S391">
        <v>9</v>
      </c>
      <c r="T391">
        <v>10</v>
      </c>
      <c r="U391" t="s">
        <v>68</v>
      </c>
      <c r="V391" t="str">
        <f t="shared" si="6"/>
        <v>Nov-2023</v>
      </c>
      <c r="W391" s="16">
        <f>Table1[[#This Row],[Consultation Date]] - Table1[[#This Row],[Appointment Date]]</f>
        <v>0.79166666666424135</v>
      </c>
    </row>
    <row r="392" spans="1:23" x14ac:dyDescent="0.3">
      <c r="A392" t="s">
        <v>449</v>
      </c>
      <c r="B392">
        <v>86</v>
      </c>
      <c r="C392" t="s">
        <v>22</v>
      </c>
      <c r="D392" s="2">
        <v>45143</v>
      </c>
      <c r="E392" s="2">
        <v>45066</v>
      </c>
      <c r="F392">
        <v>12</v>
      </c>
      <c r="G392" t="s">
        <v>63</v>
      </c>
      <c r="H392">
        <v>1</v>
      </c>
      <c r="I392" t="s">
        <v>24</v>
      </c>
      <c r="J392">
        <v>26823</v>
      </c>
      <c r="K392" t="s">
        <v>53</v>
      </c>
      <c r="L392" t="s">
        <v>54</v>
      </c>
      <c r="M392" t="s">
        <v>27</v>
      </c>
      <c r="N392" s="2">
        <v>45021</v>
      </c>
      <c r="O392" s="2">
        <v>45021.375</v>
      </c>
      <c r="P392" t="s">
        <v>37</v>
      </c>
      <c r="Q392" t="s">
        <v>29</v>
      </c>
      <c r="R392" t="s">
        <v>47</v>
      </c>
      <c r="S392">
        <v>7</v>
      </c>
      <c r="T392">
        <v>8</v>
      </c>
      <c r="U392" t="s">
        <v>68</v>
      </c>
      <c r="V392" t="str">
        <f t="shared" si="6"/>
        <v>Aug-2023</v>
      </c>
      <c r="W392" s="16">
        <f>Table1[[#This Row],[Consultation Date]] - Table1[[#This Row],[Appointment Date]]</f>
        <v>0.375</v>
      </c>
    </row>
    <row r="393" spans="1:23" x14ac:dyDescent="0.3">
      <c r="A393" t="s">
        <v>450</v>
      </c>
      <c r="B393">
        <v>49</v>
      </c>
      <c r="C393" t="s">
        <v>33</v>
      </c>
      <c r="D393" s="2">
        <v>45027</v>
      </c>
      <c r="E393" s="2">
        <v>45057</v>
      </c>
      <c r="F393">
        <v>1</v>
      </c>
      <c r="G393" t="s">
        <v>50</v>
      </c>
      <c r="H393">
        <v>5</v>
      </c>
      <c r="I393" t="s">
        <v>35</v>
      </c>
      <c r="J393">
        <v>33797</v>
      </c>
      <c r="K393" t="s">
        <v>36</v>
      </c>
      <c r="L393" t="s">
        <v>54</v>
      </c>
      <c r="M393" t="s">
        <v>27</v>
      </c>
      <c r="N393" s="2">
        <v>44937</v>
      </c>
      <c r="O393" s="2">
        <v>44937.5</v>
      </c>
      <c r="P393" t="s">
        <v>55</v>
      </c>
      <c r="Q393" t="s">
        <v>29</v>
      </c>
      <c r="R393" t="s">
        <v>47</v>
      </c>
      <c r="S393">
        <v>6</v>
      </c>
      <c r="T393">
        <v>12</v>
      </c>
      <c r="U393" t="s">
        <v>31</v>
      </c>
      <c r="V393" t="str">
        <f t="shared" si="6"/>
        <v>Apr-2023</v>
      </c>
      <c r="W393" s="16">
        <f>Table1[[#This Row],[Consultation Date]] - Table1[[#This Row],[Appointment Date]]</f>
        <v>0.5</v>
      </c>
    </row>
    <row r="394" spans="1:23" x14ac:dyDescent="0.3">
      <c r="A394" t="s">
        <v>451</v>
      </c>
      <c r="B394">
        <v>52</v>
      </c>
      <c r="C394" t="s">
        <v>41</v>
      </c>
      <c r="D394" s="2">
        <v>45357</v>
      </c>
      <c r="E394" s="2">
        <v>45571</v>
      </c>
      <c r="F394">
        <v>7</v>
      </c>
      <c r="G394" t="s">
        <v>50</v>
      </c>
      <c r="H394">
        <v>4</v>
      </c>
      <c r="I394" t="s">
        <v>35</v>
      </c>
      <c r="J394">
        <v>11449</v>
      </c>
      <c r="K394" t="s">
        <v>25</v>
      </c>
      <c r="L394" t="s">
        <v>54</v>
      </c>
      <c r="M394" t="s">
        <v>27</v>
      </c>
      <c r="N394" s="2">
        <v>45328</v>
      </c>
      <c r="O394" s="2">
        <v>45328.875</v>
      </c>
      <c r="P394" t="s">
        <v>55</v>
      </c>
      <c r="Q394" t="s">
        <v>29</v>
      </c>
      <c r="R394" t="s">
        <v>47</v>
      </c>
      <c r="S394">
        <v>11</v>
      </c>
      <c r="T394">
        <v>8</v>
      </c>
      <c r="U394" t="s">
        <v>68</v>
      </c>
      <c r="V394" t="str">
        <f t="shared" si="6"/>
        <v>Mar-2024</v>
      </c>
      <c r="W394" s="16">
        <f>Table1[[#This Row],[Consultation Date]] - Table1[[#This Row],[Appointment Date]]</f>
        <v>0.875</v>
      </c>
    </row>
    <row r="395" spans="1:23" x14ac:dyDescent="0.3">
      <c r="A395" t="s">
        <v>452</v>
      </c>
      <c r="B395">
        <v>42</v>
      </c>
      <c r="C395" t="s">
        <v>45</v>
      </c>
      <c r="D395" s="2">
        <v>45243</v>
      </c>
      <c r="E395" s="2">
        <v>45244</v>
      </c>
      <c r="F395">
        <v>1</v>
      </c>
      <c r="G395" t="s">
        <v>63</v>
      </c>
      <c r="H395">
        <v>5</v>
      </c>
      <c r="I395" t="s">
        <v>71</v>
      </c>
      <c r="J395">
        <v>6725</v>
      </c>
      <c r="K395" t="s">
        <v>60</v>
      </c>
      <c r="L395" t="s">
        <v>26</v>
      </c>
      <c r="M395" t="s">
        <v>27</v>
      </c>
      <c r="N395" s="2">
        <v>45271</v>
      </c>
      <c r="O395" s="2">
        <v>45243.208333333336</v>
      </c>
      <c r="P395" t="s">
        <v>55</v>
      </c>
      <c r="Q395" t="s">
        <v>29</v>
      </c>
      <c r="R395" t="s">
        <v>47</v>
      </c>
      <c r="S395">
        <v>5</v>
      </c>
      <c r="T395">
        <v>8</v>
      </c>
      <c r="U395" t="s">
        <v>48</v>
      </c>
      <c r="V395" t="str">
        <f t="shared" si="6"/>
        <v>Nov-2023</v>
      </c>
      <c r="W395" s="16">
        <f>Table1[[#This Row],[Consultation Date]] - Table1[[#This Row],[Appointment Date]]</f>
        <v>-27.791666666664241</v>
      </c>
    </row>
    <row r="396" spans="1:23" x14ac:dyDescent="0.3">
      <c r="A396" t="s">
        <v>453</v>
      </c>
      <c r="B396">
        <v>70</v>
      </c>
      <c r="C396" t="s">
        <v>52</v>
      </c>
      <c r="D396" s="2">
        <v>45345</v>
      </c>
      <c r="E396" s="2">
        <v>45325</v>
      </c>
      <c r="F396">
        <v>8</v>
      </c>
      <c r="G396" t="s">
        <v>34</v>
      </c>
      <c r="H396">
        <v>1</v>
      </c>
      <c r="I396" t="s">
        <v>66</v>
      </c>
      <c r="J396">
        <v>20870</v>
      </c>
      <c r="K396" t="s">
        <v>36</v>
      </c>
      <c r="L396" t="s">
        <v>54</v>
      </c>
      <c r="M396" t="s">
        <v>27</v>
      </c>
      <c r="N396" s="2">
        <v>45343</v>
      </c>
      <c r="O396" s="2">
        <v>45344.666666666664</v>
      </c>
      <c r="P396" t="s">
        <v>64</v>
      </c>
      <c r="Q396" t="s">
        <v>29</v>
      </c>
      <c r="R396" t="s">
        <v>47</v>
      </c>
      <c r="S396">
        <v>11</v>
      </c>
      <c r="T396">
        <v>12</v>
      </c>
      <c r="U396" t="s">
        <v>68</v>
      </c>
      <c r="V396" t="str">
        <f t="shared" si="6"/>
        <v>Feb-2024</v>
      </c>
      <c r="W396" s="16">
        <f>Table1[[#This Row],[Consultation Date]] - Table1[[#This Row],[Appointment Date]]</f>
        <v>1.6666666666642413</v>
      </c>
    </row>
    <row r="397" spans="1:23" x14ac:dyDescent="0.3">
      <c r="A397" t="s">
        <v>454</v>
      </c>
      <c r="B397">
        <v>15</v>
      </c>
      <c r="C397" t="s">
        <v>22</v>
      </c>
      <c r="D397" s="2">
        <v>44938</v>
      </c>
      <c r="E397" s="2">
        <v>45276</v>
      </c>
      <c r="F397">
        <v>15</v>
      </c>
      <c r="G397" t="s">
        <v>50</v>
      </c>
      <c r="H397">
        <v>1</v>
      </c>
      <c r="I397" t="s">
        <v>66</v>
      </c>
      <c r="J397">
        <v>14304</v>
      </c>
      <c r="K397" t="s">
        <v>67</v>
      </c>
      <c r="L397" t="s">
        <v>54</v>
      </c>
      <c r="M397" t="s">
        <v>27</v>
      </c>
      <c r="N397" s="2">
        <v>45257</v>
      </c>
      <c r="O397" s="2">
        <v>45257.166666666664</v>
      </c>
      <c r="P397" t="s">
        <v>55</v>
      </c>
      <c r="Q397" t="s">
        <v>29</v>
      </c>
      <c r="R397" t="s">
        <v>47</v>
      </c>
      <c r="S397">
        <v>9</v>
      </c>
      <c r="T397">
        <v>12</v>
      </c>
      <c r="U397" t="s">
        <v>31</v>
      </c>
      <c r="V397" t="str">
        <f t="shared" si="6"/>
        <v>Jan-2023</v>
      </c>
      <c r="W397" s="16">
        <f>Table1[[#This Row],[Consultation Date]] - Table1[[#This Row],[Appointment Date]]</f>
        <v>0.16666666666424135</v>
      </c>
    </row>
    <row r="398" spans="1:23" x14ac:dyDescent="0.3">
      <c r="A398" t="s">
        <v>455</v>
      </c>
      <c r="B398">
        <v>54</v>
      </c>
      <c r="C398" t="s">
        <v>33</v>
      </c>
      <c r="D398" s="2">
        <v>45339</v>
      </c>
      <c r="E398" s="2">
        <v>45341</v>
      </c>
      <c r="F398">
        <v>2</v>
      </c>
      <c r="G398" t="s">
        <v>40</v>
      </c>
      <c r="H398">
        <v>1</v>
      </c>
      <c r="I398" t="s">
        <v>35</v>
      </c>
      <c r="J398">
        <v>12522</v>
      </c>
      <c r="K398" t="s">
        <v>53</v>
      </c>
      <c r="L398" t="s">
        <v>54</v>
      </c>
      <c r="M398" t="s">
        <v>27</v>
      </c>
      <c r="N398" s="2">
        <v>45337</v>
      </c>
      <c r="O398" s="2">
        <v>45337.958333333336</v>
      </c>
      <c r="P398" t="s">
        <v>37</v>
      </c>
      <c r="Q398" t="s">
        <v>29</v>
      </c>
      <c r="R398" t="s">
        <v>30</v>
      </c>
      <c r="S398">
        <v>9</v>
      </c>
      <c r="T398">
        <v>12</v>
      </c>
      <c r="U398" t="s">
        <v>48</v>
      </c>
      <c r="V398" t="str">
        <f t="shared" si="6"/>
        <v>Feb-2024</v>
      </c>
      <c r="W398" s="16">
        <f>Table1[[#This Row],[Consultation Date]] - Table1[[#This Row],[Appointment Date]]</f>
        <v>0.95833333333575865</v>
      </c>
    </row>
    <row r="399" spans="1:23" x14ac:dyDescent="0.3">
      <c r="A399" t="s">
        <v>456</v>
      </c>
      <c r="B399">
        <v>60</v>
      </c>
      <c r="C399" t="s">
        <v>22</v>
      </c>
      <c r="D399" s="2">
        <v>45229</v>
      </c>
      <c r="E399" s="2">
        <v>45243</v>
      </c>
      <c r="F399">
        <v>14</v>
      </c>
      <c r="G399" t="s">
        <v>63</v>
      </c>
      <c r="H399">
        <v>1</v>
      </c>
      <c r="I399" t="s">
        <v>46</v>
      </c>
      <c r="J399">
        <v>18663</v>
      </c>
      <c r="K399" t="s">
        <v>53</v>
      </c>
      <c r="L399" t="s">
        <v>54</v>
      </c>
      <c r="M399" t="s">
        <v>41</v>
      </c>
      <c r="N399" s="2">
        <v>45228</v>
      </c>
      <c r="O399" s="2">
        <v>45228.041666666664</v>
      </c>
      <c r="P399" t="s">
        <v>64</v>
      </c>
      <c r="Q399" t="s">
        <v>38</v>
      </c>
      <c r="R399" t="s">
        <v>30</v>
      </c>
      <c r="S399">
        <v>9</v>
      </c>
      <c r="T399">
        <v>10</v>
      </c>
      <c r="U399" t="s">
        <v>48</v>
      </c>
      <c r="V399" t="str">
        <f t="shared" si="6"/>
        <v>Oct-2023</v>
      </c>
      <c r="W399" s="16">
        <f>Table1[[#This Row],[Consultation Date]] - Table1[[#This Row],[Appointment Date]]</f>
        <v>4.1666666664241347E-2</v>
      </c>
    </row>
    <row r="400" spans="1:23" x14ac:dyDescent="0.3">
      <c r="A400" t="s">
        <v>457</v>
      </c>
      <c r="B400">
        <v>8</v>
      </c>
      <c r="C400" t="s">
        <v>52</v>
      </c>
      <c r="D400" s="2">
        <v>45235</v>
      </c>
      <c r="E400" s="2">
        <v>45063</v>
      </c>
      <c r="F400">
        <v>6</v>
      </c>
      <c r="G400" t="s">
        <v>50</v>
      </c>
      <c r="H400">
        <v>3</v>
      </c>
      <c r="I400" t="s">
        <v>24</v>
      </c>
      <c r="J400">
        <v>9784</v>
      </c>
      <c r="K400" t="s">
        <v>67</v>
      </c>
      <c r="L400" t="s">
        <v>26</v>
      </c>
      <c r="M400" t="s">
        <v>41</v>
      </c>
      <c r="N400" s="2">
        <v>45174</v>
      </c>
      <c r="O400" s="2">
        <v>45204.333333333336</v>
      </c>
      <c r="P400" t="s">
        <v>55</v>
      </c>
      <c r="Q400" t="s">
        <v>29</v>
      </c>
      <c r="R400" t="s">
        <v>43</v>
      </c>
      <c r="S400">
        <v>10</v>
      </c>
      <c r="T400">
        <v>8</v>
      </c>
      <c r="U400" t="s">
        <v>48</v>
      </c>
      <c r="V400" t="str">
        <f t="shared" si="6"/>
        <v>Nov-2023</v>
      </c>
      <c r="W400" s="16">
        <f>Table1[[#This Row],[Consultation Date]] - Table1[[#This Row],[Appointment Date]]</f>
        <v>30.333333333335759</v>
      </c>
    </row>
    <row r="401" spans="1:23" x14ac:dyDescent="0.3">
      <c r="A401" t="s">
        <v>458</v>
      </c>
      <c r="B401">
        <v>53</v>
      </c>
      <c r="C401" t="s">
        <v>33</v>
      </c>
      <c r="D401" s="2">
        <v>45123</v>
      </c>
      <c r="E401" s="2">
        <v>45133</v>
      </c>
      <c r="F401">
        <v>10</v>
      </c>
      <c r="G401" t="s">
        <v>57</v>
      </c>
      <c r="H401">
        <v>5</v>
      </c>
      <c r="I401" t="s">
        <v>46</v>
      </c>
      <c r="J401">
        <v>14472</v>
      </c>
      <c r="K401" t="s">
        <v>67</v>
      </c>
      <c r="L401" t="s">
        <v>54</v>
      </c>
      <c r="M401" t="s">
        <v>27</v>
      </c>
      <c r="N401" s="2">
        <v>45121</v>
      </c>
      <c r="O401" s="2">
        <v>45121.375</v>
      </c>
      <c r="P401" t="s">
        <v>64</v>
      </c>
      <c r="Q401" t="s">
        <v>29</v>
      </c>
      <c r="R401" t="s">
        <v>47</v>
      </c>
      <c r="S401">
        <v>4</v>
      </c>
      <c r="T401">
        <v>10</v>
      </c>
      <c r="U401" t="s">
        <v>48</v>
      </c>
      <c r="V401" t="str">
        <f t="shared" si="6"/>
        <v>Jul-2023</v>
      </c>
      <c r="W401" s="16">
        <f>Table1[[#This Row],[Consultation Date]] - Table1[[#This Row],[Appointment Date]]</f>
        <v>0.375</v>
      </c>
    </row>
    <row r="402" spans="1:23" x14ac:dyDescent="0.3">
      <c r="A402" t="s">
        <v>459</v>
      </c>
      <c r="B402">
        <v>60</v>
      </c>
      <c r="C402" t="s">
        <v>22</v>
      </c>
      <c r="D402" s="2">
        <v>45446</v>
      </c>
      <c r="E402" s="2">
        <v>45364</v>
      </c>
      <c r="F402">
        <v>7</v>
      </c>
      <c r="G402" t="s">
        <v>23</v>
      </c>
      <c r="H402">
        <v>2</v>
      </c>
      <c r="I402" t="s">
        <v>46</v>
      </c>
      <c r="J402">
        <v>33952</v>
      </c>
      <c r="K402" t="s">
        <v>36</v>
      </c>
      <c r="L402" t="s">
        <v>26</v>
      </c>
      <c r="M402" t="s">
        <v>41</v>
      </c>
      <c r="N402" s="2">
        <v>45294</v>
      </c>
      <c r="O402" s="2">
        <v>45294.541666666664</v>
      </c>
      <c r="P402" t="s">
        <v>37</v>
      </c>
      <c r="Q402" t="s">
        <v>29</v>
      </c>
      <c r="R402" t="s">
        <v>30</v>
      </c>
      <c r="S402">
        <v>8</v>
      </c>
      <c r="T402">
        <v>12</v>
      </c>
      <c r="U402" t="s">
        <v>68</v>
      </c>
      <c r="V402" t="str">
        <f t="shared" si="6"/>
        <v>Jun-2024</v>
      </c>
      <c r="W402" s="16">
        <f>Table1[[#This Row],[Consultation Date]] - Table1[[#This Row],[Appointment Date]]</f>
        <v>0.54166666666424135</v>
      </c>
    </row>
    <row r="403" spans="1:23" x14ac:dyDescent="0.3">
      <c r="A403" t="s">
        <v>460</v>
      </c>
      <c r="B403">
        <v>5</v>
      </c>
      <c r="C403" t="s">
        <v>62</v>
      </c>
      <c r="D403" s="2">
        <v>45315</v>
      </c>
      <c r="E403" s="2">
        <v>45353</v>
      </c>
      <c r="F403">
        <v>10</v>
      </c>
      <c r="G403" t="s">
        <v>40</v>
      </c>
      <c r="H403">
        <v>5</v>
      </c>
      <c r="I403" t="s">
        <v>35</v>
      </c>
      <c r="J403">
        <v>15055</v>
      </c>
      <c r="K403" t="s">
        <v>67</v>
      </c>
      <c r="L403" t="s">
        <v>54</v>
      </c>
      <c r="M403" t="s">
        <v>41</v>
      </c>
      <c r="N403" s="2">
        <v>45314</v>
      </c>
      <c r="O403" s="2">
        <v>45315.041666666664</v>
      </c>
      <c r="P403" t="s">
        <v>55</v>
      </c>
      <c r="Q403" t="s">
        <v>29</v>
      </c>
      <c r="R403" t="s">
        <v>47</v>
      </c>
      <c r="S403">
        <v>6</v>
      </c>
      <c r="T403">
        <v>10</v>
      </c>
      <c r="U403" t="s">
        <v>31</v>
      </c>
      <c r="V403" t="str">
        <f t="shared" si="6"/>
        <v>Jan-2024</v>
      </c>
      <c r="W403" s="16">
        <f>Table1[[#This Row],[Consultation Date]] - Table1[[#This Row],[Appointment Date]]</f>
        <v>1.0416666666642413</v>
      </c>
    </row>
    <row r="404" spans="1:23" x14ac:dyDescent="0.3">
      <c r="A404" t="s">
        <v>461</v>
      </c>
      <c r="B404">
        <v>68</v>
      </c>
      <c r="C404" t="s">
        <v>52</v>
      </c>
      <c r="D404" s="2">
        <v>45105</v>
      </c>
      <c r="E404" s="2">
        <v>45053</v>
      </c>
      <c r="F404">
        <v>7</v>
      </c>
      <c r="G404" t="s">
        <v>23</v>
      </c>
      <c r="H404">
        <v>3</v>
      </c>
      <c r="I404" t="s">
        <v>35</v>
      </c>
      <c r="J404">
        <v>34508</v>
      </c>
      <c r="K404" t="s">
        <v>60</v>
      </c>
      <c r="L404" t="s">
        <v>54</v>
      </c>
      <c r="M404" t="s">
        <v>27</v>
      </c>
      <c r="N404" s="2">
        <v>45100</v>
      </c>
      <c r="O404" s="2">
        <v>45101.5</v>
      </c>
      <c r="P404" t="s">
        <v>28</v>
      </c>
      <c r="Q404" t="s">
        <v>29</v>
      </c>
      <c r="R404" t="s">
        <v>47</v>
      </c>
      <c r="S404">
        <v>11</v>
      </c>
      <c r="T404">
        <v>12</v>
      </c>
      <c r="U404" t="s">
        <v>68</v>
      </c>
      <c r="V404" t="str">
        <f t="shared" si="6"/>
        <v>Jun-2023</v>
      </c>
      <c r="W404" s="16">
        <f>Table1[[#This Row],[Consultation Date]] - Table1[[#This Row],[Appointment Date]]</f>
        <v>1.5</v>
      </c>
    </row>
    <row r="405" spans="1:23" x14ac:dyDescent="0.3">
      <c r="A405" t="s">
        <v>462</v>
      </c>
      <c r="B405">
        <v>6</v>
      </c>
      <c r="C405" t="s">
        <v>52</v>
      </c>
      <c r="D405" s="2">
        <v>45057</v>
      </c>
      <c r="E405" s="2">
        <v>45247</v>
      </c>
      <c r="F405">
        <v>12</v>
      </c>
      <c r="G405" t="s">
        <v>23</v>
      </c>
      <c r="H405">
        <v>1</v>
      </c>
      <c r="I405" t="s">
        <v>35</v>
      </c>
      <c r="J405">
        <v>17676</v>
      </c>
      <c r="K405" t="s">
        <v>25</v>
      </c>
      <c r="L405" t="s">
        <v>26</v>
      </c>
      <c r="M405" t="s">
        <v>27</v>
      </c>
      <c r="N405" s="2">
        <v>45230</v>
      </c>
      <c r="O405" s="2">
        <v>44937.375</v>
      </c>
      <c r="P405" t="s">
        <v>37</v>
      </c>
      <c r="Q405" t="s">
        <v>29</v>
      </c>
      <c r="R405" t="s">
        <v>30</v>
      </c>
      <c r="S405">
        <v>10</v>
      </c>
      <c r="T405">
        <v>12</v>
      </c>
      <c r="U405" t="s">
        <v>68</v>
      </c>
      <c r="V405" t="str">
        <f t="shared" si="6"/>
        <v>May-2023</v>
      </c>
      <c r="W405" s="16">
        <f>Table1[[#This Row],[Consultation Date]] - Table1[[#This Row],[Appointment Date]]</f>
        <v>-292.625</v>
      </c>
    </row>
    <row r="406" spans="1:23" x14ac:dyDescent="0.3">
      <c r="A406" t="s">
        <v>463</v>
      </c>
      <c r="B406">
        <v>47</v>
      </c>
      <c r="C406" t="s">
        <v>52</v>
      </c>
      <c r="D406" s="2">
        <v>45342</v>
      </c>
      <c r="E406" s="2">
        <v>45325</v>
      </c>
      <c r="F406">
        <v>11</v>
      </c>
      <c r="G406" t="s">
        <v>50</v>
      </c>
      <c r="H406">
        <v>3</v>
      </c>
      <c r="I406" t="s">
        <v>71</v>
      </c>
      <c r="J406">
        <v>30192</v>
      </c>
      <c r="K406" t="s">
        <v>67</v>
      </c>
      <c r="L406" t="s">
        <v>54</v>
      </c>
      <c r="M406" t="s">
        <v>27</v>
      </c>
      <c r="N406" s="2">
        <v>45339</v>
      </c>
      <c r="O406" s="2">
        <v>45340.75</v>
      </c>
      <c r="P406" t="s">
        <v>42</v>
      </c>
      <c r="Q406" t="s">
        <v>29</v>
      </c>
      <c r="R406" t="s">
        <v>47</v>
      </c>
      <c r="S406">
        <v>11</v>
      </c>
      <c r="T406">
        <v>8</v>
      </c>
      <c r="U406" t="s">
        <v>48</v>
      </c>
      <c r="V406" t="str">
        <f t="shared" si="6"/>
        <v>Feb-2024</v>
      </c>
      <c r="W406" s="16">
        <f>Table1[[#This Row],[Consultation Date]] - Table1[[#This Row],[Appointment Date]]</f>
        <v>1.75</v>
      </c>
    </row>
    <row r="407" spans="1:23" x14ac:dyDescent="0.3">
      <c r="A407" t="s">
        <v>464</v>
      </c>
      <c r="B407">
        <v>55</v>
      </c>
      <c r="C407" t="s">
        <v>62</v>
      </c>
      <c r="D407" s="2">
        <v>44927</v>
      </c>
      <c r="E407" s="2">
        <v>45139</v>
      </c>
      <c r="F407">
        <v>7</v>
      </c>
      <c r="G407" t="s">
        <v>40</v>
      </c>
      <c r="H407">
        <v>4</v>
      </c>
      <c r="I407" t="s">
        <v>46</v>
      </c>
      <c r="J407">
        <v>29722</v>
      </c>
      <c r="K407" t="s">
        <v>67</v>
      </c>
      <c r="L407" t="s">
        <v>54</v>
      </c>
      <c r="M407" t="s">
        <v>41</v>
      </c>
      <c r="N407" s="2">
        <v>44925</v>
      </c>
      <c r="O407" s="2">
        <v>44926.333333333336</v>
      </c>
      <c r="P407" t="s">
        <v>42</v>
      </c>
      <c r="Q407" t="s">
        <v>29</v>
      </c>
      <c r="R407" t="s">
        <v>30</v>
      </c>
      <c r="S407">
        <v>5</v>
      </c>
      <c r="T407">
        <v>8</v>
      </c>
      <c r="U407" t="s">
        <v>31</v>
      </c>
      <c r="V407" t="str">
        <f t="shared" si="6"/>
        <v>Jan-2023</v>
      </c>
      <c r="W407" s="16">
        <f>Table1[[#This Row],[Consultation Date]] - Table1[[#This Row],[Appointment Date]]</f>
        <v>1.3333333333357587</v>
      </c>
    </row>
    <row r="408" spans="1:23" x14ac:dyDescent="0.3">
      <c r="A408" t="s">
        <v>465</v>
      </c>
      <c r="B408">
        <v>40</v>
      </c>
      <c r="C408" t="s">
        <v>62</v>
      </c>
      <c r="D408" s="2">
        <v>45149</v>
      </c>
      <c r="E408" s="2">
        <v>45243</v>
      </c>
      <c r="F408">
        <v>5</v>
      </c>
      <c r="G408" t="s">
        <v>40</v>
      </c>
      <c r="H408">
        <v>4</v>
      </c>
      <c r="I408" t="s">
        <v>66</v>
      </c>
      <c r="J408">
        <v>12446</v>
      </c>
      <c r="K408" t="s">
        <v>60</v>
      </c>
      <c r="L408" t="s">
        <v>26</v>
      </c>
      <c r="M408" t="s">
        <v>41</v>
      </c>
      <c r="N408" s="2">
        <v>45057</v>
      </c>
      <c r="O408" s="2">
        <v>45088.125</v>
      </c>
      <c r="P408" t="s">
        <v>37</v>
      </c>
      <c r="Q408" t="s">
        <v>29</v>
      </c>
      <c r="R408" t="s">
        <v>30</v>
      </c>
      <c r="S408">
        <v>10</v>
      </c>
      <c r="T408">
        <v>8</v>
      </c>
      <c r="U408" t="s">
        <v>48</v>
      </c>
      <c r="V408" t="str">
        <f t="shared" si="6"/>
        <v>Aug-2023</v>
      </c>
      <c r="W408" s="16">
        <f>Table1[[#This Row],[Consultation Date]] - Table1[[#This Row],[Appointment Date]]</f>
        <v>31.125</v>
      </c>
    </row>
    <row r="409" spans="1:23" x14ac:dyDescent="0.3">
      <c r="A409" t="s">
        <v>466</v>
      </c>
      <c r="B409">
        <v>52</v>
      </c>
      <c r="C409" t="s">
        <v>45</v>
      </c>
      <c r="D409" s="2">
        <v>45220</v>
      </c>
      <c r="E409" s="2">
        <v>45222</v>
      </c>
      <c r="F409">
        <v>2</v>
      </c>
      <c r="G409" t="s">
        <v>34</v>
      </c>
      <c r="H409">
        <v>5</v>
      </c>
      <c r="I409" t="s">
        <v>24</v>
      </c>
      <c r="J409">
        <v>9725</v>
      </c>
      <c r="K409" t="s">
        <v>53</v>
      </c>
      <c r="L409" t="s">
        <v>54</v>
      </c>
      <c r="M409" t="s">
        <v>41</v>
      </c>
      <c r="N409" s="2">
        <v>45218</v>
      </c>
      <c r="O409" s="2">
        <v>45219.833333333336</v>
      </c>
      <c r="P409" t="s">
        <v>42</v>
      </c>
      <c r="Q409" t="s">
        <v>29</v>
      </c>
      <c r="R409" t="s">
        <v>43</v>
      </c>
      <c r="S409">
        <v>4</v>
      </c>
      <c r="T409">
        <v>10</v>
      </c>
      <c r="U409" t="s">
        <v>68</v>
      </c>
      <c r="V409" t="str">
        <f t="shared" si="6"/>
        <v>Oct-2023</v>
      </c>
      <c r="W409" s="16">
        <f>Table1[[#This Row],[Consultation Date]] - Table1[[#This Row],[Appointment Date]]</f>
        <v>1.8333333333357587</v>
      </c>
    </row>
    <row r="410" spans="1:23" x14ac:dyDescent="0.3">
      <c r="A410" t="s">
        <v>467</v>
      </c>
      <c r="B410">
        <v>16</v>
      </c>
      <c r="C410" t="s">
        <v>41</v>
      </c>
      <c r="D410" s="2">
        <v>45024</v>
      </c>
      <c r="E410" s="2">
        <v>45238</v>
      </c>
      <c r="F410">
        <v>7</v>
      </c>
      <c r="G410" t="s">
        <v>23</v>
      </c>
      <c r="H410">
        <v>5</v>
      </c>
      <c r="I410" t="s">
        <v>71</v>
      </c>
      <c r="J410">
        <v>25061</v>
      </c>
      <c r="K410" t="s">
        <v>53</v>
      </c>
      <c r="L410" t="s">
        <v>26</v>
      </c>
      <c r="M410" t="s">
        <v>27</v>
      </c>
      <c r="N410" s="2">
        <v>45138</v>
      </c>
      <c r="O410" s="2">
        <v>44934.333333333336</v>
      </c>
      <c r="P410" t="s">
        <v>37</v>
      </c>
      <c r="Q410" t="s">
        <v>29</v>
      </c>
      <c r="R410" t="s">
        <v>43</v>
      </c>
      <c r="S410">
        <v>11</v>
      </c>
      <c r="T410">
        <v>8</v>
      </c>
      <c r="U410" t="s">
        <v>68</v>
      </c>
      <c r="V410" t="str">
        <f t="shared" si="6"/>
        <v>Apr-2023</v>
      </c>
      <c r="W410" s="16">
        <f>Table1[[#This Row],[Consultation Date]] - Table1[[#This Row],[Appointment Date]]</f>
        <v>-203.66666666666424</v>
      </c>
    </row>
    <row r="411" spans="1:23" x14ac:dyDescent="0.3">
      <c r="A411" t="s">
        <v>468</v>
      </c>
      <c r="B411">
        <v>13</v>
      </c>
      <c r="C411" t="s">
        <v>22</v>
      </c>
      <c r="D411" s="2">
        <v>45367</v>
      </c>
      <c r="E411" s="2">
        <v>45368</v>
      </c>
      <c r="F411">
        <v>1</v>
      </c>
      <c r="G411" t="s">
        <v>40</v>
      </c>
      <c r="H411">
        <v>2</v>
      </c>
      <c r="I411" t="s">
        <v>66</v>
      </c>
      <c r="J411">
        <v>27671</v>
      </c>
      <c r="K411" t="s">
        <v>36</v>
      </c>
      <c r="L411" t="s">
        <v>26</v>
      </c>
      <c r="M411" t="s">
        <v>27</v>
      </c>
      <c r="N411" s="2">
        <v>45599</v>
      </c>
      <c r="O411" s="2">
        <v>45629.125</v>
      </c>
      <c r="P411" t="s">
        <v>28</v>
      </c>
      <c r="Q411" t="s">
        <v>29</v>
      </c>
      <c r="R411" t="s">
        <v>43</v>
      </c>
      <c r="S411">
        <v>10</v>
      </c>
      <c r="T411">
        <v>12</v>
      </c>
      <c r="U411" t="s">
        <v>48</v>
      </c>
      <c r="V411" t="str">
        <f t="shared" si="6"/>
        <v>Mar-2024</v>
      </c>
      <c r="W411" s="16">
        <f>Table1[[#This Row],[Consultation Date]] - Table1[[#This Row],[Appointment Date]]</f>
        <v>30.125</v>
      </c>
    </row>
    <row r="412" spans="1:23" x14ac:dyDescent="0.3">
      <c r="A412" t="s">
        <v>469</v>
      </c>
      <c r="B412">
        <v>30</v>
      </c>
      <c r="C412" t="s">
        <v>45</v>
      </c>
      <c r="D412" s="2">
        <v>45256</v>
      </c>
      <c r="E412" s="2">
        <v>44969</v>
      </c>
      <c r="F412">
        <v>6</v>
      </c>
      <c r="G412" t="s">
        <v>34</v>
      </c>
      <c r="H412">
        <v>2</v>
      </c>
      <c r="I412" t="s">
        <v>46</v>
      </c>
      <c r="J412">
        <v>6409</v>
      </c>
      <c r="K412" t="s">
        <v>60</v>
      </c>
      <c r="L412" t="s">
        <v>54</v>
      </c>
      <c r="M412" t="s">
        <v>27</v>
      </c>
      <c r="N412" s="2">
        <v>45254</v>
      </c>
      <c r="O412" s="2">
        <v>45255.916666666664</v>
      </c>
      <c r="P412" t="s">
        <v>37</v>
      </c>
      <c r="Q412" t="s">
        <v>29</v>
      </c>
      <c r="R412" t="s">
        <v>43</v>
      </c>
      <c r="S412">
        <v>10</v>
      </c>
      <c r="T412">
        <v>8</v>
      </c>
      <c r="U412" t="s">
        <v>68</v>
      </c>
      <c r="V412" t="str">
        <f t="shared" si="6"/>
        <v>Nov-2023</v>
      </c>
      <c r="W412" s="16">
        <f>Table1[[#This Row],[Consultation Date]] - Table1[[#This Row],[Appointment Date]]</f>
        <v>1.9166666666642413</v>
      </c>
    </row>
    <row r="413" spans="1:23" x14ac:dyDescent="0.3">
      <c r="A413" t="s">
        <v>470</v>
      </c>
      <c r="B413">
        <v>19</v>
      </c>
      <c r="C413" t="s">
        <v>22</v>
      </c>
      <c r="D413" s="2">
        <v>45403</v>
      </c>
      <c r="E413" s="2">
        <v>45406</v>
      </c>
      <c r="F413">
        <v>3</v>
      </c>
      <c r="G413" t="s">
        <v>63</v>
      </c>
      <c r="H413">
        <v>4</v>
      </c>
      <c r="I413" t="s">
        <v>35</v>
      </c>
      <c r="J413">
        <v>13205</v>
      </c>
      <c r="K413" t="s">
        <v>25</v>
      </c>
      <c r="L413" t="s">
        <v>54</v>
      </c>
      <c r="M413" t="s">
        <v>41</v>
      </c>
      <c r="N413" s="2">
        <v>45401</v>
      </c>
      <c r="O413" s="2">
        <v>45402.208333333336</v>
      </c>
      <c r="P413" t="s">
        <v>55</v>
      </c>
      <c r="Q413" t="s">
        <v>29</v>
      </c>
      <c r="R413" t="s">
        <v>47</v>
      </c>
      <c r="S413">
        <v>7</v>
      </c>
      <c r="T413">
        <v>10</v>
      </c>
      <c r="U413" t="s">
        <v>68</v>
      </c>
      <c r="V413" t="str">
        <f t="shared" si="6"/>
        <v>Apr-2024</v>
      </c>
      <c r="W413" s="16">
        <f>Table1[[#This Row],[Consultation Date]] - Table1[[#This Row],[Appointment Date]]</f>
        <v>1.2083333333357587</v>
      </c>
    </row>
    <row r="414" spans="1:23" x14ac:dyDescent="0.3">
      <c r="A414" t="s">
        <v>471</v>
      </c>
      <c r="B414">
        <v>17</v>
      </c>
      <c r="C414" t="s">
        <v>41</v>
      </c>
      <c r="D414" s="2">
        <v>45379</v>
      </c>
      <c r="E414" s="2">
        <v>45569</v>
      </c>
      <c r="F414">
        <v>13</v>
      </c>
      <c r="G414" t="s">
        <v>34</v>
      </c>
      <c r="H414">
        <v>1</v>
      </c>
      <c r="I414" t="s">
        <v>46</v>
      </c>
      <c r="J414">
        <v>21365</v>
      </c>
      <c r="K414" t="s">
        <v>25</v>
      </c>
      <c r="L414" t="s">
        <v>54</v>
      </c>
      <c r="M414" t="s">
        <v>27</v>
      </c>
      <c r="N414" s="2">
        <v>45379</v>
      </c>
      <c r="O414" s="2">
        <v>45380.333333333336</v>
      </c>
      <c r="P414" t="s">
        <v>55</v>
      </c>
      <c r="Q414" t="s">
        <v>29</v>
      </c>
      <c r="R414" t="s">
        <v>47</v>
      </c>
      <c r="S414">
        <v>5</v>
      </c>
      <c r="T414">
        <v>8</v>
      </c>
      <c r="U414" t="s">
        <v>48</v>
      </c>
      <c r="V414" t="str">
        <f t="shared" si="6"/>
        <v>Mar-2024</v>
      </c>
      <c r="W414" s="16">
        <f>Table1[[#This Row],[Consultation Date]] - Table1[[#This Row],[Appointment Date]]</f>
        <v>1.3333333333357587</v>
      </c>
    </row>
    <row r="415" spans="1:23" x14ac:dyDescent="0.3">
      <c r="A415" t="s">
        <v>472</v>
      </c>
      <c r="B415">
        <v>63</v>
      </c>
      <c r="C415" t="s">
        <v>62</v>
      </c>
      <c r="D415" s="2">
        <v>45379</v>
      </c>
      <c r="E415" s="2">
        <v>45477</v>
      </c>
      <c r="F415">
        <v>10</v>
      </c>
      <c r="G415" t="s">
        <v>57</v>
      </c>
      <c r="H415">
        <v>3</v>
      </c>
      <c r="I415" t="s">
        <v>24</v>
      </c>
      <c r="J415">
        <v>5256</v>
      </c>
      <c r="K415" t="s">
        <v>60</v>
      </c>
      <c r="L415" t="s">
        <v>54</v>
      </c>
      <c r="M415" t="s">
        <v>27</v>
      </c>
      <c r="N415" s="2">
        <v>45375</v>
      </c>
      <c r="O415" s="2">
        <v>45375.458333333336</v>
      </c>
      <c r="P415" t="s">
        <v>64</v>
      </c>
      <c r="Q415" t="s">
        <v>29</v>
      </c>
      <c r="R415" t="s">
        <v>43</v>
      </c>
      <c r="S415">
        <v>9</v>
      </c>
      <c r="T415">
        <v>8</v>
      </c>
      <c r="U415" t="s">
        <v>68</v>
      </c>
      <c r="V415" t="str">
        <f t="shared" si="6"/>
        <v>Mar-2024</v>
      </c>
      <c r="W415" s="16">
        <f>Table1[[#This Row],[Consultation Date]] - Table1[[#This Row],[Appointment Date]]</f>
        <v>0.45833333333575865</v>
      </c>
    </row>
    <row r="416" spans="1:23" x14ac:dyDescent="0.3">
      <c r="A416" t="s">
        <v>473</v>
      </c>
      <c r="B416">
        <v>19</v>
      </c>
      <c r="C416" t="s">
        <v>41</v>
      </c>
      <c r="D416" s="2">
        <v>45115</v>
      </c>
      <c r="E416" s="2">
        <v>45153</v>
      </c>
      <c r="F416">
        <v>8</v>
      </c>
      <c r="G416" t="s">
        <v>50</v>
      </c>
      <c r="H416">
        <v>2</v>
      </c>
      <c r="I416" t="s">
        <v>71</v>
      </c>
      <c r="J416">
        <v>20704</v>
      </c>
      <c r="K416" t="s">
        <v>25</v>
      </c>
      <c r="L416" t="s">
        <v>26</v>
      </c>
      <c r="M416" t="s">
        <v>27</v>
      </c>
      <c r="N416" s="2">
        <v>44965</v>
      </c>
      <c r="O416" s="2">
        <v>44965.25</v>
      </c>
      <c r="P416" t="s">
        <v>42</v>
      </c>
      <c r="Q416" t="s">
        <v>29</v>
      </c>
      <c r="R416" t="s">
        <v>30</v>
      </c>
      <c r="S416">
        <v>5</v>
      </c>
      <c r="T416">
        <v>8</v>
      </c>
      <c r="U416" t="s">
        <v>31</v>
      </c>
      <c r="V416" t="str">
        <f t="shared" si="6"/>
        <v>Jul-2023</v>
      </c>
      <c r="W416" s="16">
        <f>Table1[[#This Row],[Consultation Date]] - Table1[[#This Row],[Appointment Date]]</f>
        <v>0.25</v>
      </c>
    </row>
    <row r="417" spans="1:23" x14ac:dyDescent="0.3">
      <c r="A417" t="s">
        <v>474</v>
      </c>
      <c r="B417">
        <v>58</v>
      </c>
      <c r="C417" t="s">
        <v>62</v>
      </c>
      <c r="D417" s="2">
        <v>45479</v>
      </c>
      <c r="E417" s="2">
        <v>45464</v>
      </c>
      <c r="F417">
        <v>14</v>
      </c>
      <c r="G417" t="s">
        <v>63</v>
      </c>
      <c r="H417">
        <v>2</v>
      </c>
      <c r="I417" t="s">
        <v>71</v>
      </c>
      <c r="J417">
        <v>34902</v>
      </c>
      <c r="K417" t="s">
        <v>53</v>
      </c>
      <c r="L417" t="s">
        <v>26</v>
      </c>
      <c r="M417" t="s">
        <v>27</v>
      </c>
      <c r="N417" s="2">
        <v>45357</v>
      </c>
      <c r="O417" s="2">
        <v>45388.541666666664</v>
      </c>
      <c r="P417" t="s">
        <v>42</v>
      </c>
      <c r="Q417" t="s">
        <v>29</v>
      </c>
      <c r="R417" t="s">
        <v>30</v>
      </c>
      <c r="S417">
        <v>5</v>
      </c>
      <c r="T417">
        <v>10</v>
      </c>
      <c r="U417" t="s">
        <v>48</v>
      </c>
      <c r="V417" t="str">
        <f t="shared" si="6"/>
        <v>Jul-2024</v>
      </c>
      <c r="W417" s="16">
        <f>Table1[[#This Row],[Consultation Date]] - Table1[[#This Row],[Appointment Date]]</f>
        <v>31.541666666664241</v>
      </c>
    </row>
    <row r="418" spans="1:23" x14ac:dyDescent="0.3">
      <c r="A418" t="s">
        <v>475</v>
      </c>
      <c r="B418">
        <v>55</v>
      </c>
      <c r="C418" t="s">
        <v>41</v>
      </c>
      <c r="D418" s="2">
        <v>45411</v>
      </c>
      <c r="E418" s="2">
        <v>45601</v>
      </c>
      <c r="F418">
        <v>12</v>
      </c>
      <c r="G418" t="s">
        <v>63</v>
      </c>
      <c r="H418">
        <v>1</v>
      </c>
      <c r="I418" t="s">
        <v>24</v>
      </c>
      <c r="J418">
        <v>40758</v>
      </c>
      <c r="K418" t="s">
        <v>25</v>
      </c>
      <c r="L418" t="s">
        <v>54</v>
      </c>
      <c r="M418" t="s">
        <v>27</v>
      </c>
      <c r="N418" s="2">
        <v>45408</v>
      </c>
      <c r="O418" s="2">
        <v>45408.083333333336</v>
      </c>
      <c r="P418" t="s">
        <v>37</v>
      </c>
      <c r="Q418" t="s">
        <v>29</v>
      </c>
      <c r="R418" t="s">
        <v>30</v>
      </c>
      <c r="S418">
        <v>7</v>
      </c>
      <c r="T418">
        <v>12</v>
      </c>
      <c r="U418" t="s">
        <v>31</v>
      </c>
      <c r="V418" t="str">
        <f t="shared" si="6"/>
        <v>Apr-2024</v>
      </c>
      <c r="W418" s="16">
        <f>Table1[[#This Row],[Consultation Date]] - Table1[[#This Row],[Appointment Date]]</f>
        <v>8.3333333335758653E-2</v>
      </c>
    </row>
    <row r="419" spans="1:23" x14ac:dyDescent="0.3">
      <c r="A419" t="s">
        <v>476</v>
      </c>
      <c r="B419">
        <v>62</v>
      </c>
      <c r="C419" t="s">
        <v>45</v>
      </c>
      <c r="D419" s="2">
        <v>45100</v>
      </c>
      <c r="E419" s="2">
        <v>45145</v>
      </c>
      <c r="F419">
        <v>15</v>
      </c>
      <c r="G419" t="s">
        <v>57</v>
      </c>
      <c r="H419">
        <v>1</v>
      </c>
      <c r="I419" t="s">
        <v>66</v>
      </c>
      <c r="J419">
        <v>6195</v>
      </c>
      <c r="K419" t="s">
        <v>25</v>
      </c>
      <c r="L419" t="s">
        <v>54</v>
      </c>
      <c r="M419" t="s">
        <v>41</v>
      </c>
      <c r="N419" s="2">
        <v>45097</v>
      </c>
      <c r="O419" s="2">
        <v>45097.625</v>
      </c>
      <c r="P419" t="s">
        <v>42</v>
      </c>
      <c r="Q419" t="s">
        <v>29</v>
      </c>
      <c r="R419" t="s">
        <v>30</v>
      </c>
      <c r="S419">
        <v>8</v>
      </c>
      <c r="T419">
        <v>12</v>
      </c>
      <c r="U419" t="s">
        <v>68</v>
      </c>
      <c r="V419" t="str">
        <f t="shared" si="6"/>
        <v>Jun-2023</v>
      </c>
      <c r="W419" s="16">
        <f>Table1[[#This Row],[Consultation Date]] - Table1[[#This Row],[Appointment Date]]</f>
        <v>0.625</v>
      </c>
    </row>
    <row r="420" spans="1:23" x14ac:dyDescent="0.3">
      <c r="A420" t="s">
        <v>477</v>
      </c>
      <c r="B420">
        <v>23</v>
      </c>
      <c r="C420" t="s">
        <v>33</v>
      </c>
      <c r="D420" s="2">
        <v>45013</v>
      </c>
      <c r="E420" s="2">
        <v>44989</v>
      </c>
      <c r="F420">
        <v>6</v>
      </c>
      <c r="G420" t="s">
        <v>34</v>
      </c>
      <c r="H420">
        <v>5</v>
      </c>
      <c r="I420" t="s">
        <v>66</v>
      </c>
      <c r="J420">
        <v>39012</v>
      </c>
      <c r="K420" t="s">
        <v>60</v>
      </c>
      <c r="L420" t="s">
        <v>54</v>
      </c>
      <c r="M420" t="s">
        <v>41</v>
      </c>
      <c r="N420" s="2">
        <v>45011</v>
      </c>
      <c r="O420" s="2">
        <v>45011.791666666664</v>
      </c>
      <c r="P420" t="s">
        <v>55</v>
      </c>
      <c r="Q420" t="s">
        <v>29</v>
      </c>
      <c r="R420" t="s">
        <v>47</v>
      </c>
      <c r="S420">
        <v>10</v>
      </c>
      <c r="T420">
        <v>12</v>
      </c>
      <c r="U420" t="s">
        <v>68</v>
      </c>
      <c r="V420" t="str">
        <f t="shared" si="6"/>
        <v>Mar-2023</v>
      </c>
      <c r="W420" s="16">
        <f>Table1[[#This Row],[Consultation Date]] - Table1[[#This Row],[Appointment Date]]</f>
        <v>0.79166666666424135</v>
      </c>
    </row>
    <row r="421" spans="1:23" x14ac:dyDescent="0.3">
      <c r="A421" t="s">
        <v>478</v>
      </c>
      <c r="B421">
        <v>9</v>
      </c>
      <c r="C421" t="s">
        <v>45</v>
      </c>
      <c r="D421" s="2">
        <v>45217</v>
      </c>
      <c r="E421" s="2">
        <v>45219</v>
      </c>
      <c r="F421">
        <v>2</v>
      </c>
      <c r="G421" t="s">
        <v>50</v>
      </c>
      <c r="H421">
        <v>3</v>
      </c>
      <c r="I421" t="s">
        <v>71</v>
      </c>
      <c r="J421">
        <v>16415</v>
      </c>
      <c r="K421" t="s">
        <v>60</v>
      </c>
      <c r="L421" t="s">
        <v>54</v>
      </c>
      <c r="M421" t="s">
        <v>27</v>
      </c>
      <c r="N421" s="2">
        <v>45216</v>
      </c>
      <c r="O421" s="2">
        <v>45216.125</v>
      </c>
      <c r="P421" t="s">
        <v>28</v>
      </c>
      <c r="Q421" t="s">
        <v>29</v>
      </c>
      <c r="R421" t="s">
        <v>30</v>
      </c>
      <c r="S421">
        <v>6</v>
      </c>
      <c r="T421">
        <v>8</v>
      </c>
      <c r="U421" t="s">
        <v>48</v>
      </c>
      <c r="V421" t="str">
        <f t="shared" si="6"/>
        <v>Oct-2023</v>
      </c>
      <c r="W421" s="16">
        <f>Table1[[#This Row],[Consultation Date]] - Table1[[#This Row],[Appointment Date]]</f>
        <v>0.125</v>
      </c>
    </row>
    <row r="422" spans="1:23" x14ac:dyDescent="0.3">
      <c r="A422" t="s">
        <v>479</v>
      </c>
      <c r="B422">
        <v>12</v>
      </c>
      <c r="C422" t="s">
        <v>22</v>
      </c>
      <c r="D422" s="2">
        <v>45602</v>
      </c>
      <c r="E422" s="2">
        <v>45461</v>
      </c>
      <c r="F422">
        <v>7</v>
      </c>
      <c r="G422" t="s">
        <v>34</v>
      </c>
      <c r="H422">
        <v>1</v>
      </c>
      <c r="I422" t="s">
        <v>71</v>
      </c>
      <c r="J422">
        <v>44534</v>
      </c>
      <c r="K422" t="s">
        <v>25</v>
      </c>
      <c r="L422" t="s">
        <v>26</v>
      </c>
      <c r="M422" t="s">
        <v>41</v>
      </c>
      <c r="N422" s="2">
        <v>45541</v>
      </c>
      <c r="O422" s="2">
        <v>45541.75</v>
      </c>
      <c r="P422" t="s">
        <v>37</v>
      </c>
      <c r="Q422" t="s">
        <v>29</v>
      </c>
      <c r="R422" t="s">
        <v>30</v>
      </c>
      <c r="S422">
        <v>9</v>
      </c>
      <c r="T422">
        <v>8</v>
      </c>
      <c r="U422" t="s">
        <v>68</v>
      </c>
      <c r="V422" t="str">
        <f t="shared" si="6"/>
        <v>Nov-2024</v>
      </c>
      <c r="W422" s="16">
        <f>Table1[[#This Row],[Consultation Date]] - Table1[[#This Row],[Appointment Date]]</f>
        <v>0.75</v>
      </c>
    </row>
    <row r="423" spans="1:23" x14ac:dyDescent="0.3">
      <c r="A423" t="s">
        <v>480</v>
      </c>
      <c r="B423">
        <v>1</v>
      </c>
      <c r="C423" t="s">
        <v>45</v>
      </c>
      <c r="D423" s="2">
        <v>45211</v>
      </c>
      <c r="E423" s="2">
        <v>45284</v>
      </c>
      <c r="F423">
        <v>14</v>
      </c>
      <c r="G423" t="s">
        <v>40</v>
      </c>
      <c r="H423">
        <v>2</v>
      </c>
      <c r="I423" t="s">
        <v>35</v>
      </c>
      <c r="J423">
        <v>26686</v>
      </c>
      <c r="K423" t="s">
        <v>67</v>
      </c>
      <c r="L423" t="s">
        <v>54</v>
      </c>
      <c r="M423" t="s">
        <v>41</v>
      </c>
      <c r="N423" s="2">
        <v>45211</v>
      </c>
      <c r="O423" s="2">
        <v>45211.625</v>
      </c>
      <c r="P423" t="s">
        <v>42</v>
      </c>
      <c r="Q423" t="s">
        <v>29</v>
      </c>
      <c r="R423" t="s">
        <v>43</v>
      </c>
      <c r="S423">
        <v>11</v>
      </c>
      <c r="T423">
        <v>10</v>
      </c>
      <c r="U423" t="s">
        <v>48</v>
      </c>
      <c r="V423" t="str">
        <f t="shared" si="6"/>
        <v>Oct-2023</v>
      </c>
      <c r="W423" s="16">
        <f>Table1[[#This Row],[Consultation Date]] - Table1[[#This Row],[Appointment Date]]</f>
        <v>0.625</v>
      </c>
    </row>
    <row r="424" spans="1:23" x14ac:dyDescent="0.3">
      <c r="A424" t="s">
        <v>481</v>
      </c>
      <c r="B424">
        <v>58</v>
      </c>
      <c r="C424" t="s">
        <v>52</v>
      </c>
      <c r="D424" s="2">
        <v>45081</v>
      </c>
      <c r="E424" s="2">
        <v>45142</v>
      </c>
      <c r="F424">
        <v>2</v>
      </c>
      <c r="G424" t="s">
        <v>34</v>
      </c>
      <c r="H424">
        <v>2</v>
      </c>
      <c r="I424" t="s">
        <v>66</v>
      </c>
      <c r="J424">
        <v>16662</v>
      </c>
      <c r="K424" t="s">
        <v>60</v>
      </c>
      <c r="L424" t="s">
        <v>26</v>
      </c>
      <c r="M424" t="s">
        <v>41</v>
      </c>
      <c r="N424" s="2">
        <v>45020</v>
      </c>
      <c r="O424" s="2">
        <v>45050.458333333336</v>
      </c>
      <c r="P424" t="s">
        <v>55</v>
      </c>
      <c r="Q424" t="s">
        <v>29</v>
      </c>
      <c r="R424" t="s">
        <v>30</v>
      </c>
      <c r="S424">
        <v>8</v>
      </c>
      <c r="T424">
        <v>12</v>
      </c>
      <c r="U424" t="s">
        <v>48</v>
      </c>
      <c r="V424" t="str">
        <f t="shared" si="6"/>
        <v>Jun-2023</v>
      </c>
      <c r="W424" s="16">
        <f>Table1[[#This Row],[Consultation Date]] - Table1[[#This Row],[Appointment Date]]</f>
        <v>30.458333333335759</v>
      </c>
    </row>
    <row r="425" spans="1:23" x14ac:dyDescent="0.3">
      <c r="A425" t="s">
        <v>482</v>
      </c>
      <c r="B425">
        <v>1</v>
      </c>
      <c r="C425" t="s">
        <v>22</v>
      </c>
      <c r="D425" s="2">
        <v>45167</v>
      </c>
      <c r="E425" s="2">
        <v>44966</v>
      </c>
      <c r="F425">
        <v>4</v>
      </c>
      <c r="G425" t="s">
        <v>63</v>
      </c>
      <c r="H425">
        <v>4</v>
      </c>
      <c r="I425" t="s">
        <v>24</v>
      </c>
      <c r="J425">
        <v>33743</v>
      </c>
      <c r="K425" t="s">
        <v>36</v>
      </c>
      <c r="L425" t="s">
        <v>26</v>
      </c>
      <c r="M425" t="s">
        <v>41</v>
      </c>
      <c r="N425" s="2">
        <v>45162</v>
      </c>
      <c r="O425" s="2">
        <v>45162.791666666664</v>
      </c>
      <c r="P425" t="s">
        <v>64</v>
      </c>
      <c r="Q425" t="s">
        <v>29</v>
      </c>
      <c r="R425" t="s">
        <v>47</v>
      </c>
      <c r="S425">
        <v>4</v>
      </c>
      <c r="T425">
        <v>8</v>
      </c>
      <c r="U425" t="s">
        <v>48</v>
      </c>
      <c r="V425" t="str">
        <f t="shared" si="6"/>
        <v>Aug-2023</v>
      </c>
      <c r="W425" s="16">
        <f>Table1[[#This Row],[Consultation Date]] - Table1[[#This Row],[Appointment Date]]</f>
        <v>0.79166666666424135</v>
      </c>
    </row>
    <row r="426" spans="1:23" x14ac:dyDescent="0.3">
      <c r="A426" t="s">
        <v>483</v>
      </c>
      <c r="B426">
        <v>34</v>
      </c>
      <c r="C426" t="s">
        <v>41</v>
      </c>
      <c r="D426" s="2">
        <v>45244</v>
      </c>
      <c r="E426" s="2">
        <v>45251</v>
      </c>
      <c r="F426">
        <v>7</v>
      </c>
      <c r="G426" t="s">
        <v>50</v>
      </c>
      <c r="H426">
        <v>1</v>
      </c>
      <c r="I426" t="s">
        <v>66</v>
      </c>
      <c r="J426">
        <v>37161</v>
      </c>
      <c r="K426" t="s">
        <v>36</v>
      </c>
      <c r="L426" t="s">
        <v>26</v>
      </c>
      <c r="M426" t="s">
        <v>27</v>
      </c>
      <c r="N426" s="2">
        <v>45244</v>
      </c>
      <c r="O426" s="2">
        <v>45244.458333333336</v>
      </c>
      <c r="P426" t="s">
        <v>42</v>
      </c>
      <c r="Q426" t="s">
        <v>29</v>
      </c>
      <c r="R426" t="s">
        <v>30</v>
      </c>
      <c r="S426">
        <v>10</v>
      </c>
      <c r="T426">
        <v>8</v>
      </c>
      <c r="U426" t="s">
        <v>48</v>
      </c>
      <c r="V426" t="str">
        <f t="shared" si="6"/>
        <v>Nov-2023</v>
      </c>
      <c r="W426" s="16">
        <f>Table1[[#This Row],[Consultation Date]] - Table1[[#This Row],[Appointment Date]]</f>
        <v>0.45833333333575865</v>
      </c>
    </row>
    <row r="427" spans="1:23" x14ac:dyDescent="0.3">
      <c r="A427" t="s">
        <v>484</v>
      </c>
      <c r="B427">
        <v>48</v>
      </c>
      <c r="C427" t="s">
        <v>22</v>
      </c>
      <c r="D427" s="2">
        <v>45157</v>
      </c>
      <c r="E427" s="2">
        <v>45167</v>
      </c>
      <c r="F427">
        <v>10</v>
      </c>
      <c r="G427" t="s">
        <v>34</v>
      </c>
      <c r="H427">
        <v>5</v>
      </c>
      <c r="I427" t="s">
        <v>35</v>
      </c>
      <c r="J427">
        <v>48081</v>
      </c>
      <c r="K427" t="s">
        <v>53</v>
      </c>
      <c r="L427" t="s">
        <v>54</v>
      </c>
      <c r="M427" t="s">
        <v>27</v>
      </c>
      <c r="N427" s="2">
        <v>45155</v>
      </c>
      <c r="O427" s="2">
        <v>45156.25</v>
      </c>
      <c r="P427" t="s">
        <v>28</v>
      </c>
      <c r="Q427" t="s">
        <v>29</v>
      </c>
      <c r="R427" t="s">
        <v>30</v>
      </c>
      <c r="S427">
        <v>9</v>
      </c>
      <c r="T427">
        <v>8</v>
      </c>
      <c r="U427" t="s">
        <v>48</v>
      </c>
      <c r="V427" t="str">
        <f t="shared" si="6"/>
        <v>Aug-2023</v>
      </c>
      <c r="W427" s="16">
        <f>Table1[[#This Row],[Consultation Date]] - Table1[[#This Row],[Appointment Date]]</f>
        <v>1.25</v>
      </c>
    </row>
    <row r="428" spans="1:23" x14ac:dyDescent="0.3">
      <c r="A428" t="s">
        <v>485</v>
      </c>
      <c r="B428">
        <v>89</v>
      </c>
      <c r="C428" t="s">
        <v>33</v>
      </c>
      <c r="D428" s="2">
        <v>45130</v>
      </c>
      <c r="E428" s="2">
        <v>45137</v>
      </c>
      <c r="F428">
        <v>7</v>
      </c>
      <c r="G428" t="s">
        <v>50</v>
      </c>
      <c r="H428">
        <v>3</v>
      </c>
      <c r="I428" t="s">
        <v>71</v>
      </c>
      <c r="J428">
        <v>7402</v>
      </c>
      <c r="K428" t="s">
        <v>25</v>
      </c>
      <c r="L428" t="s">
        <v>26</v>
      </c>
      <c r="M428" t="s">
        <v>27</v>
      </c>
      <c r="N428" s="2">
        <v>45127</v>
      </c>
      <c r="O428" s="2">
        <v>45128.541666666664</v>
      </c>
      <c r="P428" t="s">
        <v>28</v>
      </c>
      <c r="Q428" t="s">
        <v>29</v>
      </c>
      <c r="R428" t="s">
        <v>47</v>
      </c>
      <c r="S428">
        <v>6</v>
      </c>
      <c r="T428">
        <v>10</v>
      </c>
      <c r="U428" t="s">
        <v>31</v>
      </c>
      <c r="V428" t="str">
        <f t="shared" si="6"/>
        <v>Jul-2023</v>
      </c>
      <c r="W428" s="16">
        <f>Table1[[#This Row],[Consultation Date]] - Table1[[#This Row],[Appointment Date]]</f>
        <v>1.5416666666642413</v>
      </c>
    </row>
    <row r="429" spans="1:23" x14ac:dyDescent="0.3">
      <c r="A429" t="s">
        <v>486</v>
      </c>
      <c r="B429">
        <v>1</v>
      </c>
      <c r="C429" t="s">
        <v>62</v>
      </c>
      <c r="D429" s="2">
        <v>45077</v>
      </c>
      <c r="E429" s="2">
        <v>45175</v>
      </c>
      <c r="F429">
        <v>9</v>
      </c>
      <c r="G429" t="s">
        <v>50</v>
      </c>
      <c r="H429">
        <v>5</v>
      </c>
      <c r="I429" t="s">
        <v>71</v>
      </c>
      <c r="J429">
        <v>18275</v>
      </c>
      <c r="K429" t="s">
        <v>67</v>
      </c>
      <c r="L429" t="s">
        <v>54</v>
      </c>
      <c r="M429" t="s">
        <v>27</v>
      </c>
      <c r="N429" s="2">
        <v>45072</v>
      </c>
      <c r="O429" s="2">
        <v>45074</v>
      </c>
      <c r="P429" t="s">
        <v>42</v>
      </c>
      <c r="Q429" t="s">
        <v>29</v>
      </c>
      <c r="R429" t="s">
        <v>43</v>
      </c>
      <c r="S429">
        <v>10</v>
      </c>
      <c r="T429">
        <v>12</v>
      </c>
      <c r="U429" t="s">
        <v>48</v>
      </c>
      <c r="V429" t="str">
        <f t="shared" si="6"/>
        <v>May-2023</v>
      </c>
      <c r="W429" s="16">
        <f>Table1[[#This Row],[Consultation Date]] - Table1[[#This Row],[Appointment Date]]</f>
        <v>2</v>
      </c>
    </row>
    <row r="430" spans="1:23" x14ac:dyDescent="0.3">
      <c r="A430" t="s">
        <v>487</v>
      </c>
      <c r="B430">
        <v>16</v>
      </c>
      <c r="C430" t="s">
        <v>41</v>
      </c>
      <c r="D430" s="2">
        <v>44952</v>
      </c>
      <c r="E430" s="2">
        <v>44954</v>
      </c>
      <c r="F430">
        <v>2</v>
      </c>
      <c r="G430" t="s">
        <v>40</v>
      </c>
      <c r="H430">
        <v>2</v>
      </c>
      <c r="I430" t="s">
        <v>35</v>
      </c>
      <c r="J430">
        <v>33182</v>
      </c>
      <c r="K430" t="s">
        <v>53</v>
      </c>
      <c r="L430" t="s">
        <v>26</v>
      </c>
      <c r="M430" t="s">
        <v>27</v>
      </c>
      <c r="N430" s="2">
        <v>44950</v>
      </c>
      <c r="O430" s="2">
        <v>44951.333333333336</v>
      </c>
      <c r="P430" t="s">
        <v>42</v>
      </c>
      <c r="Q430" t="s">
        <v>29</v>
      </c>
      <c r="R430" t="s">
        <v>47</v>
      </c>
      <c r="S430">
        <v>4</v>
      </c>
      <c r="T430">
        <v>10</v>
      </c>
      <c r="U430" t="s">
        <v>31</v>
      </c>
      <c r="V430" t="str">
        <f t="shared" si="6"/>
        <v>Jan-2023</v>
      </c>
      <c r="W430" s="16">
        <f>Table1[[#This Row],[Consultation Date]] - Table1[[#This Row],[Appointment Date]]</f>
        <v>1.3333333333357587</v>
      </c>
    </row>
    <row r="431" spans="1:23" x14ac:dyDescent="0.3">
      <c r="A431" t="s">
        <v>488</v>
      </c>
      <c r="B431">
        <v>61</v>
      </c>
      <c r="C431" t="s">
        <v>22</v>
      </c>
      <c r="D431" s="2">
        <v>44974</v>
      </c>
      <c r="E431" s="2">
        <v>44981</v>
      </c>
      <c r="F431">
        <v>7</v>
      </c>
      <c r="G431" t="s">
        <v>40</v>
      </c>
      <c r="H431">
        <v>5</v>
      </c>
      <c r="I431" t="s">
        <v>24</v>
      </c>
      <c r="J431">
        <v>19915</v>
      </c>
      <c r="K431" t="s">
        <v>25</v>
      </c>
      <c r="L431" t="s">
        <v>54</v>
      </c>
      <c r="M431" t="s">
        <v>27</v>
      </c>
      <c r="N431" s="2">
        <v>45262</v>
      </c>
      <c r="O431" s="2">
        <v>44970.5</v>
      </c>
      <c r="P431" t="s">
        <v>55</v>
      </c>
      <c r="Q431" t="s">
        <v>29</v>
      </c>
      <c r="R431" t="s">
        <v>43</v>
      </c>
      <c r="S431">
        <v>7</v>
      </c>
      <c r="T431">
        <v>12</v>
      </c>
      <c r="U431" t="s">
        <v>68</v>
      </c>
      <c r="V431" t="str">
        <f t="shared" si="6"/>
        <v>Feb-2023</v>
      </c>
      <c r="W431" s="16">
        <f>Table1[[#This Row],[Consultation Date]] - Table1[[#This Row],[Appointment Date]]</f>
        <v>-291.5</v>
      </c>
    </row>
    <row r="432" spans="1:23" x14ac:dyDescent="0.3">
      <c r="A432" t="s">
        <v>489</v>
      </c>
      <c r="B432">
        <v>64</v>
      </c>
      <c r="C432" t="s">
        <v>41</v>
      </c>
      <c r="D432" s="2">
        <v>45147</v>
      </c>
      <c r="E432" s="2">
        <v>45191</v>
      </c>
      <c r="F432">
        <v>14</v>
      </c>
      <c r="G432" t="s">
        <v>63</v>
      </c>
      <c r="H432">
        <v>2</v>
      </c>
      <c r="I432" t="s">
        <v>71</v>
      </c>
      <c r="J432">
        <v>5909</v>
      </c>
      <c r="K432" t="s">
        <v>60</v>
      </c>
      <c r="L432" t="s">
        <v>54</v>
      </c>
      <c r="M432" t="s">
        <v>27</v>
      </c>
      <c r="N432" s="2">
        <v>45055</v>
      </c>
      <c r="O432" s="2">
        <v>45086.375</v>
      </c>
      <c r="P432" t="s">
        <v>42</v>
      </c>
      <c r="Q432" t="s">
        <v>29</v>
      </c>
      <c r="R432" t="s">
        <v>30</v>
      </c>
      <c r="S432">
        <v>8</v>
      </c>
      <c r="T432">
        <v>12</v>
      </c>
      <c r="U432" t="s">
        <v>48</v>
      </c>
      <c r="V432" t="str">
        <f t="shared" si="6"/>
        <v>Aug-2023</v>
      </c>
      <c r="W432" s="16">
        <f>Table1[[#This Row],[Consultation Date]] - Table1[[#This Row],[Appointment Date]]</f>
        <v>31.375</v>
      </c>
    </row>
    <row r="433" spans="1:23" x14ac:dyDescent="0.3">
      <c r="A433" t="s">
        <v>490</v>
      </c>
      <c r="B433">
        <v>63</v>
      </c>
      <c r="C433" t="s">
        <v>41</v>
      </c>
      <c r="D433" s="2">
        <v>45296</v>
      </c>
      <c r="E433" s="2">
        <v>45448</v>
      </c>
      <c r="F433">
        <v>5</v>
      </c>
      <c r="G433" t="s">
        <v>57</v>
      </c>
      <c r="H433">
        <v>2</v>
      </c>
      <c r="I433" t="s">
        <v>46</v>
      </c>
      <c r="J433">
        <v>5372</v>
      </c>
      <c r="K433" t="s">
        <v>36</v>
      </c>
      <c r="L433" t="s">
        <v>54</v>
      </c>
      <c r="M433" t="s">
        <v>27</v>
      </c>
      <c r="N433" s="2">
        <v>45412</v>
      </c>
      <c r="O433" s="2">
        <v>45412.333333333336</v>
      </c>
      <c r="P433" t="s">
        <v>64</v>
      </c>
      <c r="Q433" t="s">
        <v>29</v>
      </c>
      <c r="R433" t="s">
        <v>43</v>
      </c>
      <c r="S433">
        <v>10</v>
      </c>
      <c r="T433">
        <v>8</v>
      </c>
      <c r="U433" t="s">
        <v>68</v>
      </c>
      <c r="V433" t="str">
        <f t="shared" si="6"/>
        <v>Jan-2024</v>
      </c>
      <c r="W433" s="16">
        <f>Table1[[#This Row],[Consultation Date]] - Table1[[#This Row],[Appointment Date]]</f>
        <v>0.33333333333575865</v>
      </c>
    </row>
    <row r="434" spans="1:23" x14ac:dyDescent="0.3">
      <c r="A434" t="s">
        <v>491</v>
      </c>
      <c r="B434">
        <v>69</v>
      </c>
      <c r="C434" t="s">
        <v>41</v>
      </c>
      <c r="D434" s="2">
        <v>45001</v>
      </c>
      <c r="E434" s="2">
        <v>45013</v>
      </c>
      <c r="F434">
        <v>12</v>
      </c>
      <c r="G434" t="s">
        <v>50</v>
      </c>
      <c r="H434">
        <v>2</v>
      </c>
      <c r="I434" t="s">
        <v>71</v>
      </c>
      <c r="J434">
        <v>27620</v>
      </c>
      <c r="K434" t="s">
        <v>67</v>
      </c>
      <c r="L434" t="s">
        <v>54</v>
      </c>
      <c r="M434" t="s">
        <v>41</v>
      </c>
      <c r="N434" s="2">
        <v>45000</v>
      </c>
      <c r="O434" s="2">
        <v>45001.541666666664</v>
      </c>
      <c r="P434" t="s">
        <v>55</v>
      </c>
      <c r="Q434" t="s">
        <v>38</v>
      </c>
      <c r="R434" t="s">
        <v>43</v>
      </c>
      <c r="S434">
        <v>9</v>
      </c>
      <c r="T434">
        <v>8</v>
      </c>
      <c r="U434" t="s">
        <v>48</v>
      </c>
      <c r="V434" t="str">
        <f t="shared" si="6"/>
        <v>Mar-2023</v>
      </c>
      <c r="W434" s="16">
        <f>Table1[[#This Row],[Consultation Date]] - Table1[[#This Row],[Appointment Date]]</f>
        <v>1.5416666666642413</v>
      </c>
    </row>
    <row r="435" spans="1:23" x14ac:dyDescent="0.3">
      <c r="A435" t="s">
        <v>492</v>
      </c>
      <c r="B435">
        <v>22</v>
      </c>
      <c r="C435" t="s">
        <v>62</v>
      </c>
      <c r="D435" s="2">
        <v>45600</v>
      </c>
      <c r="E435" s="2">
        <v>45399</v>
      </c>
      <c r="F435">
        <v>6</v>
      </c>
      <c r="G435" t="s">
        <v>57</v>
      </c>
      <c r="H435">
        <v>2</v>
      </c>
      <c r="I435" t="s">
        <v>46</v>
      </c>
      <c r="J435">
        <v>39112</v>
      </c>
      <c r="K435" t="s">
        <v>36</v>
      </c>
      <c r="L435" t="s">
        <v>54</v>
      </c>
      <c r="M435" t="s">
        <v>27</v>
      </c>
      <c r="N435" s="2">
        <v>45477</v>
      </c>
      <c r="O435" s="2">
        <v>45477.333333333336</v>
      </c>
      <c r="P435" t="s">
        <v>37</v>
      </c>
      <c r="Q435" t="s">
        <v>29</v>
      </c>
      <c r="R435" t="s">
        <v>43</v>
      </c>
      <c r="S435">
        <v>5</v>
      </c>
      <c r="T435">
        <v>8</v>
      </c>
      <c r="U435" t="s">
        <v>31</v>
      </c>
      <c r="V435" t="str">
        <f t="shared" si="6"/>
        <v>Nov-2024</v>
      </c>
      <c r="W435" s="16">
        <f>Table1[[#This Row],[Consultation Date]] - Table1[[#This Row],[Appointment Date]]</f>
        <v>0.33333333333575865</v>
      </c>
    </row>
    <row r="436" spans="1:23" x14ac:dyDescent="0.3">
      <c r="A436" t="s">
        <v>493</v>
      </c>
      <c r="B436">
        <v>67</v>
      </c>
      <c r="C436" t="s">
        <v>45</v>
      </c>
      <c r="D436" s="2">
        <v>45351</v>
      </c>
      <c r="E436" s="2">
        <v>45385</v>
      </c>
      <c r="F436">
        <v>4</v>
      </c>
      <c r="G436" t="s">
        <v>63</v>
      </c>
      <c r="H436">
        <v>2</v>
      </c>
      <c r="I436" t="s">
        <v>35</v>
      </c>
      <c r="J436">
        <v>13515</v>
      </c>
      <c r="K436" t="s">
        <v>60</v>
      </c>
      <c r="L436" t="s">
        <v>26</v>
      </c>
      <c r="M436" t="s">
        <v>27</v>
      </c>
      <c r="N436" s="2">
        <v>45349</v>
      </c>
      <c r="O436" s="2">
        <v>45349.75</v>
      </c>
      <c r="P436" t="s">
        <v>64</v>
      </c>
      <c r="Q436" t="s">
        <v>29</v>
      </c>
      <c r="R436" t="s">
        <v>30</v>
      </c>
      <c r="S436">
        <v>11</v>
      </c>
      <c r="T436">
        <v>8</v>
      </c>
      <c r="U436" t="s">
        <v>31</v>
      </c>
      <c r="V436" t="str">
        <f t="shared" si="6"/>
        <v>Feb-2024</v>
      </c>
      <c r="W436" s="16">
        <f>Table1[[#This Row],[Consultation Date]] - Table1[[#This Row],[Appointment Date]]</f>
        <v>0.75</v>
      </c>
    </row>
    <row r="437" spans="1:23" x14ac:dyDescent="0.3">
      <c r="A437" t="s">
        <v>494</v>
      </c>
      <c r="B437">
        <v>76</v>
      </c>
      <c r="C437" t="s">
        <v>41</v>
      </c>
      <c r="D437" s="2">
        <v>45126</v>
      </c>
      <c r="E437" s="2">
        <v>45132</v>
      </c>
      <c r="F437">
        <v>6</v>
      </c>
      <c r="G437" t="s">
        <v>50</v>
      </c>
      <c r="H437">
        <v>4</v>
      </c>
      <c r="I437" t="s">
        <v>35</v>
      </c>
      <c r="J437">
        <v>7431</v>
      </c>
      <c r="K437" t="s">
        <v>25</v>
      </c>
      <c r="L437" t="s">
        <v>54</v>
      </c>
      <c r="M437" t="s">
        <v>27</v>
      </c>
      <c r="N437" s="2">
        <v>45122</v>
      </c>
      <c r="O437" s="2">
        <v>45123.458333333336</v>
      </c>
      <c r="P437" t="s">
        <v>55</v>
      </c>
      <c r="Q437" t="s">
        <v>29</v>
      </c>
      <c r="R437" t="s">
        <v>43</v>
      </c>
      <c r="S437">
        <v>11</v>
      </c>
      <c r="T437">
        <v>8</v>
      </c>
      <c r="U437" t="s">
        <v>31</v>
      </c>
      <c r="V437" t="str">
        <f t="shared" si="6"/>
        <v>Jul-2023</v>
      </c>
      <c r="W437" s="16">
        <f>Table1[[#This Row],[Consultation Date]] - Table1[[#This Row],[Appointment Date]]</f>
        <v>1.4583333333357587</v>
      </c>
    </row>
    <row r="438" spans="1:23" x14ac:dyDescent="0.3">
      <c r="A438" t="s">
        <v>495</v>
      </c>
      <c r="B438">
        <v>26</v>
      </c>
      <c r="C438" t="s">
        <v>52</v>
      </c>
      <c r="D438" s="2">
        <v>45320</v>
      </c>
      <c r="E438" s="2">
        <v>45598</v>
      </c>
      <c r="F438">
        <v>13</v>
      </c>
      <c r="G438" t="s">
        <v>50</v>
      </c>
      <c r="H438">
        <v>5</v>
      </c>
      <c r="I438" t="s">
        <v>71</v>
      </c>
      <c r="J438">
        <v>26054</v>
      </c>
      <c r="K438" t="s">
        <v>60</v>
      </c>
      <c r="L438" t="s">
        <v>54</v>
      </c>
      <c r="M438" t="s">
        <v>27</v>
      </c>
      <c r="N438" s="2">
        <v>45315</v>
      </c>
      <c r="O438" s="2">
        <v>45316</v>
      </c>
      <c r="P438" t="s">
        <v>55</v>
      </c>
      <c r="Q438" t="s">
        <v>29</v>
      </c>
      <c r="R438" t="s">
        <v>43</v>
      </c>
      <c r="S438">
        <v>11</v>
      </c>
      <c r="T438">
        <v>12</v>
      </c>
      <c r="U438" t="s">
        <v>68</v>
      </c>
      <c r="V438" t="str">
        <f t="shared" si="6"/>
        <v>Jan-2024</v>
      </c>
      <c r="W438" s="16">
        <f>Table1[[#This Row],[Consultation Date]] - Table1[[#This Row],[Appointment Date]]</f>
        <v>1</v>
      </c>
    </row>
    <row r="439" spans="1:23" x14ac:dyDescent="0.3">
      <c r="A439" t="s">
        <v>496</v>
      </c>
      <c r="B439">
        <v>16</v>
      </c>
      <c r="C439" t="s">
        <v>33</v>
      </c>
      <c r="D439" s="2">
        <v>45433</v>
      </c>
      <c r="E439" s="2">
        <v>45436</v>
      </c>
      <c r="F439">
        <v>3</v>
      </c>
      <c r="G439" t="s">
        <v>23</v>
      </c>
      <c r="H439">
        <v>4</v>
      </c>
      <c r="I439" t="s">
        <v>66</v>
      </c>
      <c r="J439">
        <v>37624</v>
      </c>
      <c r="K439" t="s">
        <v>60</v>
      </c>
      <c r="L439" t="s">
        <v>54</v>
      </c>
      <c r="M439" t="s">
        <v>27</v>
      </c>
      <c r="N439" s="2">
        <v>45431</v>
      </c>
      <c r="O439" s="2">
        <v>45432.458333333336</v>
      </c>
      <c r="P439" t="s">
        <v>28</v>
      </c>
      <c r="Q439" t="s">
        <v>29</v>
      </c>
      <c r="R439" t="s">
        <v>30</v>
      </c>
      <c r="S439">
        <v>6</v>
      </c>
      <c r="T439">
        <v>8</v>
      </c>
      <c r="U439" t="s">
        <v>48</v>
      </c>
      <c r="V439" t="str">
        <f t="shared" si="6"/>
        <v>May-2024</v>
      </c>
      <c r="W439" s="16">
        <f>Table1[[#This Row],[Consultation Date]] - Table1[[#This Row],[Appointment Date]]</f>
        <v>1.4583333333357587</v>
      </c>
    </row>
    <row r="440" spans="1:23" x14ac:dyDescent="0.3">
      <c r="A440" t="s">
        <v>497</v>
      </c>
      <c r="B440">
        <v>51</v>
      </c>
      <c r="C440" t="s">
        <v>62</v>
      </c>
      <c r="D440" s="2">
        <v>45336</v>
      </c>
      <c r="E440" s="2">
        <v>45338</v>
      </c>
      <c r="F440">
        <v>2</v>
      </c>
      <c r="G440" t="s">
        <v>57</v>
      </c>
      <c r="H440">
        <v>4</v>
      </c>
      <c r="I440" t="s">
        <v>46</v>
      </c>
      <c r="J440">
        <v>15585</v>
      </c>
      <c r="K440" t="s">
        <v>36</v>
      </c>
      <c r="L440" t="s">
        <v>54</v>
      </c>
      <c r="M440" t="s">
        <v>27</v>
      </c>
      <c r="N440" s="2">
        <v>45335</v>
      </c>
      <c r="O440" s="2">
        <v>45335.125</v>
      </c>
      <c r="P440" t="s">
        <v>55</v>
      </c>
      <c r="Q440" t="s">
        <v>29</v>
      </c>
      <c r="R440" t="s">
        <v>47</v>
      </c>
      <c r="S440">
        <v>10</v>
      </c>
      <c r="T440">
        <v>8</v>
      </c>
      <c r="U440" t="s">
        <v>68</v>
      </c>
      <c r="V440" t="str">
        <f t="shared" si="6"/>
        <v>Feb-2024</v>
      </c>
      <c r="W440" s="16">
        <f>Table1[[#This Row],[Consultation Date]] - Table1[[#This Row],[Appointment Date]]</f>
        <v>0.125</v>
      </c>
    </row>
    <row r="441" spans="1:23" x14ac:dyDescent="0.3">
      <c r="A441" t="s">
        <v>498</v>
      </c>
      <c r="B441">
        <v>86</v>
      </c>
      <c r="C441" t="s">
        <v>22</v>
      </c>
      <c r="D441" s="2">
        <v>45116</v>
      </c>
      <c r="E441" s="2">
        <v>45185</v>
      </c>
      <c r="F441">
        <v>9</v>
      </c>
      <c r="G441" t="s">
        <v>34</v>
      </c>
      <c r="H441">
        <v>1</v>
      </c>
      <c r="I441" t="s">
        <v>24</v>
      </c>
      <c r="J441">
        <v>36958</v>
      </c>
      <c r="K441" t="s">
        <v>67</v>
      </c>
      <c r="L441" t="s">
        <v>54</v>
      </c>
      <c r="M441" t="s">
        <v>41</v>
      </c>
      <c r="N441" s="2">
        <v>45116</v>
      </c>
      <c r="O441" s="2">
        <v>45147.958333333336</v>
      </c>
      <c r="P441" t="s">
        <v>64</v>
      </c>
      <c r="Q441" t="s">
        <v>29</v>
      </c>
      <c r="R441" t="s">
        <v>47</v>
      </c>
      <c r="S441">
        <v>11</v>
      </c>
      <c r="T441">
        <v>10</v>
      </c>
      <c r="U441" t="s">
        <v>31</v>
      </c>
      <c r="V441" t="str">
        <f t="shared" si="6"/>
        <v>Jul-2023</v>
      </c>
      <c r="W441" s="16">
        <f>Table1[[#This Row],[Consultation Date]] - Table1[[#This Row],[Appointment Date]]</f>
        <v>31.958333333335759</v>
      </c>
    </row>
    <row r="442" spans="1:23" x14ac:dyDescent="0.3">
      <c r="A442" t="s">
        <v>499</v>
      </c>
      <c r="B442">
        <v>57</v>
      </c>
      <c r="C442" t="s">
        <v>62</v>
      </c>
      <c r="D442" s="2">
        <v>44932</v>
      </c>
      <c r="E442" s="2">
        <v>45266</v>
      </c>
      <c r="F442">
        <v>11</v>
      </c>
      <c r="G442" t="s">
        <v>40</v>
      </c>
      <c r="H442">
        <v>1</v>
      </c>
      <c r="I442" t="s">
        <v>71</v>
      </c>
      <c r="J442">
        <v>6695</v>
      </c>
      <c r="K442" t="s">
        <v>60</v>
      </c>
      <c r="L442" t="s">
        <v>54</v>
      </c>
      <c r="M442" t="s">
        <v>27</v>
      </c>
      <c r="N442" s="2">
        <v>45074</v>
      </c>
      <c r="O442" s="2">
        <v>45075.208333333336</v>
      </c>
      <c r="P442" t="s">
        <v>42</v>
      </c>
      <c r="Q442" t="s">
        <v>29</v>
      </c>
      <c r="R442" t="s">
        <v>47</v>
      </c>
      <c r="S442">
        <v>9</v>
      </c>
      <c r="T442">
        <v>10</v>
      </c>
      <c r="U442" t="s">
        <v>68</v>
      </c>
      <c r="V442" t="str">
        <f t="shared" si="6"/>
        <v>Jan-2023</v>
      </c>
      <c r="W442" s="16">
        <f>Table1[[#This Row],[Consultation Date]] - Table1[[#This Row],[Appointment Date]]</f>
        <v>1.2083333333357587</v>
      </c>
    </row>
    <row r="443" spans="1:23" x14ac:dyDescent="0.3">
      <c r="A443" t="s">
        <v>500</v>
      </c>
      <c r="B443">
        <v>29</v>
      </c>
      <c r="C443" t="s">
        <v>22</v>
      </c>
      <c r="D443" s="2">
        <v>45078</v>
      </c>
      <c r="E443" s="2">
        <v>45139</v>
      </c>
      <c r="F443">
        <v>2</v>
      </c>
      <c r="G443" t="s">
        <v>34</v>
      </c>
      <c r="H443">
        <v>1</v>
      </c>
      <c r="I443" t="s">
        <v>24</v>
      </c>
      <c r="J443">
        <v>39675</v>
      </c>
      <c r="K443" t="s">
        <v>36</v>
      </c>
      <c r="L443" t="s">
        <v>54</v>
      </c>
      <c r="M443" t="s">
        <v>27</v>
      </c>
      <c r="N443" s="2">
        <v>44927</v>
      </c>
      <c r="O443" s="2">
        <v>44958.458333333336</v>
      </c>
      <c r="P443" t="s">
        <v>64</v>
      </c>
      <c r="Q443" t="s">
        <v>29</v>
      </c>
      <c r="R443" t="s">
        <v>30</v>
      </c>
      <c r="S443">
        <v>5</v>
      </c>
      <c r="T443">
        <v>12</v>
      </c>
      <c r="U443" t="s">
        <v>31</v>
      </c>
      <c r="V443" t="str">
        <f t="shared" si="6"/>
        <v>Jun-2023</v>
      </c>
      <c r="W443" s="16">
        <f>Table1[[#This Row],[Consultation Date]] - Table1[[#This Row],[Appointment Date]]</f>
        <v>31.458333333335759</v>
      </c>
    </row>
    <row r="444" spans="1:23" x14ac:dyDescent="0.3">
      <c r="A444" t="s">
        <v>501</v>
      </c>
      <c r="B444">
        <v>78</v>
      </c>
      <c r="C444" t="s">
        <v>62</v>
      </c>
      <c r="D444" s="2">
        <v>45036</v>
      </c>
      <c r="E444" s="2">
        <v>45045</v>
      </c>
      <c r="F444">
        <v>9</v>
      </c>
      <c r="G444" t="s">
        <v>57</v>
      </c>
      <c r="H444">
        <v>3</v>
      </c>
      <c r="I444" t="s">
        <v>71</v>
      </c>
      <c r="J444">
        <v>38787</v>
      </c>
      <c r="K444" t="s">
        <v>67</v>
      </c>
      <c r="L444" t="s">
        <v>54</v>
      </c>
      <c r="M444" t="s">
        <v>27</v>
      </c>
      <c r="N444" s="2">
        <v>45032</v>
      </c>
      <c r="O444" s="2">
        <v>45032.583333333336</v>
      </c>
      <c r="P444" t="s">
        <v>37</v>
      </c>
      <c r="Q444" t="s">
        <v>29</v>
      </c>
      <c r="R444" t="s">
        <v>30</v>
      </c>
      <c r="S444">
        <v>9</v>
      </c>
      <c r="T444">
        <v>12</v>
      </c>
      <c r="U444" t="s">
        <v>31</v>
      </c>
      <c r="V444" t="str">
        <f t="shared" si="6"/>
        <v>Apr-2023</v>
      </c>
      <c r="W444" s="16">
        <f>Table1[[#This Row],[Consultation Date]] - Table1[[#This Row],[Appointment Date]]</f>
        <v>0.58333333333575865</v>
      </c>
    </row>
    <row r="445" spans="1:23" x14ac:dyDescent="0.3">
      <c r="A445" t="s">
        <v>502</v>
      </c>
      <c r="B445">
        <v>69</v>
      </c>
      <c r="C445" t="s">
        <v>22</v>
      </c>
      <c r="D445" s="2">
        <v>45599</v>
      </c>
      <c r="E445" s="2">
        <v>45371</v>
      </c>
      <c r="F445">
        <v>9</v>
      </c>
      <c r="G445" t="s">
        <v>40</v>
      </c>
      <c r="H445">
        <v>1</v>
      </c>
      <c r="I445" t="s">
        <v>66</v>
      </c>
      <c r="J445">
        <v>49225</v>
      </c>
      <c r="K445" t="s">
        <v>25</v>
      </c>
      <c r="L445" t="s">
        <v>26</v>
      </c>
      <c r="M445" t="s">
        <v>41</v>
      </c>
      <c r="N445" s="2">
        <v>45568</v>
      </c>
      <c r="O445" s="2">
        <v>45599.166666666664</v>
      </c>
      <c r="P445" t="s">
        <v>55</v>
      </c>
      <c r="Q445" t="s">
        <v>29</v>
      </c>
      <c r="R445" t="s">
        <v>47</v>
      </c>
      <c r="S445">
        <v>10</v>
      </c>
      <c r="T445">
        <v>10</v>
      </c>
      <c r="U445" t="s">
        <v>31</v>
      </c>
      <c r="V445" t="str">
        <f t="shared" si="6"/>
        <v>Nov-2024</v>
      </c>
      <c r="W445" s="16">
        <f>Table1[[#This Row],[Consultation Date]] - Table1[[#This Row],[Appointment Date]]</f>
        <v>31.166666666664241</v>
      </c>
    </row>
    <row r="446" spans="1:23" x14ac:dyDescent="0.3">
      <c r="A446" t="s">
        <v>503</v>
      </c>
      <c r="B446">
        <v>47</v>
      </c>
      <c r="C446" t="s">
        <v>41</v>
      </c>
      <c r="D446" s="2">
        <v>45151</v>
      </c>
      <c r="E446" s="2">
        <v>45155</v>
      </c>
      <c r="F446">
        <v>4</v>
      </c>
      <c r="G446" t="s">
        <v>34</v>
      </c>
      <c r="H446">
        <v>5</v>
      </c>
      <c r="I446" t="s">
        <v>66</v>
      </c>
      <c r="J446">
        <v>6403</v>
      </c>
      <c r="K446" t="s">
        <v>25</v>
      </c>
      <c r="L446" t="s">
        <v>54</v>
      </c>
      <c r="M446" t="s">
        <v>27</v>
      </c>
      <c r="N446" s="2">
        <v>45268</v>
      </c>
      <c r="O446" s="2">
        <v>45268.291666666664</v>
      </c>
      <c r="P446" t="s">
        <v>55</v>
      </c>
      <c r="Q446" t="s">
        <v>29</v>
      </c>
      <c r="R446" t="s">
        <v>43</v>
      </c>
      <c r="S446">
        <v>4</v>
      </c>
      <c r="T446">
        <v>10</v>
      </c>
      <c r="U446" t="s">
        <v>48</v>
      </c>
      <c r="V446" t="str">
        <f t="shared" si="6"/>
        <v>Aug-2023</v>
      </c>
      <c r="W446" s="16">
        <f>Table1[[#This Row],[Consultation Date]] - Table1[[#This Row],[Appointment Date]]</f>
        <v>0.29166666666424135</v>
      </c>
    </row>
    <row r="447" spans="1:23" x14ac:dyDescent="0.3">
      <c r="A447" t="s">
        <v>504</v>
      </c>
      <c r="B447">
        <v>62</v>
      </c>
      <c r="C447" t="s">
        <v>45</v>
      </c>
      <c r="D447" s="2">
        <v>45107</v>
      </c>
      <c r="E447" s="2">
        <v>45122</v>
      </c>
      <c r="F447">
        <v>15</v>
      </c>
      <c r="G447" t="s">
        <v>23</v>
      </c>
      <c r="H447">
        <v>4</v>
      </c>
      <c r="I447" t="s">
        <v>66</v>
      </c>
      <c r="J447">
        <v>22810</v>
      </c>
      <c r="K447" t="s">
        <v>53</v>
      </c>
      <c r="L447" t="s">
        <v>26</v>
      </c>
      <c r="M447" t="s">
        <v>27</v>
      </c>
      <c r="N447" s="2">
        <v>45107</v>
      </c>
      <c r="O447" s="2">
        <v>44964</v>
      </c>
      <c r="P447" t="s">
        <v>55</v>
      </c>
      <c r="Q447" t="s">
        <v>29</v>
      </c>
      <c r="R447" t="s">
        <v>47</v>
      </c>
      <c r="S447">
        <v>5</v>
      </c>
      <c r="T447">
        <v>8</v>
      </c>
      <c r="U447" t="s">
        <v>48</v>
      </c>
      <c r="V447" t="str">
        <f t="shared" si="6"/>
        <v>Jun-2023</v>
      </c>
      <c r="W447" s="16">
        <f>Table1[[#This Row],[Consultation Date]] - Table1[[#This Row],[Appointment Date]]</f>
        <v>-143</v>
      </c>
    </row>
    <row r="448" spans="1:23" x14ac:dyDescent="0.3">
      <c r="A448" t="s">
        <v>505</v>
      </c>
      <c r="B448">
        <v>69</v>
      </c>
      <c r="C448" t="s">
        <v>22</v>
      </c>
      <c r="D448" s="2">
        <v>45457</v>
      </c>
      <c r="E448" s="2">
        <v>45470</v>
      </c>
      <c r="F448">
        <v>13</v>
      </c>
      <c r="G448" t="s">
        <v>40</v>
      </c>
      <c r="H448">
        <v>5</v>
      </c>
      <c r="I448" t="s">
        <v>66</v>
      </c>
      <c r="J448">
        <v>13855</v>
      </c>
      <c r="K448" t="s">
        <v>36</v>
      </c>
      <c r="L448" t="s">
        <v>54</v>
      </c>
      <c r="M448" t="s">
        <v>41</v>
      </c>
      <c r="N448" s="2">
        <v>45541</v>
      </c>
      <c r="O448" s="2">
        <v>45571.75</v>
      </c>
      <c r="P448" t="s">
        <v>55</v>
      </c>
      <c r="Q448" t="s">
        <v>29</v>
      </c>
      <c r="R448" t="s">
        <v>30</v>
      </c>
      <c r="S448">
        <v>5</v>
      </c>
      <c r="T448">
        <v>8</v>
      </c>
      <c r="U448" t="s">
        <v>31</v>
      </c>
      <c r="V448" t="str">
        <f t="shared" si="6"/>
        <v>Jun-2024</v>
      </c>
      <c r="W448" s="16">
        <f>Table1[[#This Row],[Consultation Date]] - Table1[[#This Row],[Appointment Date]]</f>
        <v>30.75</v>
      </c>
    </row>
    <row r="449" spans="1:23" x14ac:dyDescent="0.3">
      <c r="A449" t="s">
        <v>506</v>
      </c>
      <c r="B449">
        <v>76</v>
      </c>
      <c r="C449" t="s">
        <v>22</v>
      </c>
      <c r="D449" s="2">
        <v>45402</v>
      </c>
      <c r="E449" s="2">
        <v>45408</v>
      </c>
      <c r="F449">
        <v>6</v>
      </c>
      <c r="G449" t="s">
        <v>50</v>
      </c>
      <c r="H449">
        <v>1</v>
      </c>
      <c r="I449" t="s">
        <v>35</v>
      </c>
      <c r="J449">
        <v>43636</v>
      </c>
      <c r="K449" t="s">
        <v>67</v>
      </c>
      <c r="L449" t="s">
        <v>54</v>
      </c>
      <c r="M449" t="s">
        <v>27</v>
      </c>
      <c r="N449" s="2">
        <v>45398</v>
      </c>
      <c r="O449" s="2">
        <v>45398.666666666664</v>
      </c>
      <c r="P449" t="s">
        <v>28</v>
      </c>
      <c r="Q449" t="s">
        <v>29</v>
      </c>
      <c r="R449" t="s">
        <v>43</v>
      </c>
      <c r="S449">
        <v>9</v>
      </c>
      <c r="T449">
        <v>12</v>
      </c>
      <c r="U449" t="s">
        <v>68</v>
      </c>
      <c r="V449" t="str">
        <f t="shared" si="6"/>
        <v>Apr-2024</v>
      </c>
      <c r="W449" s="16">
        <f>Table1[[#This Row],[Consultation Date]] - Table1[[#This Row],[Appointment Date]]</f>
        <v>0.66666666666424135</v>
      </c>
    </row>
    <row r="450" spans="1:23" x14ac:dyDescent="0.3">
      <c r="A450" t="s">
        <v>507</v>
      </c>
      <c r="B450">
        <v>16</v>
      </c>
      <c r="C450" t="s">
        <v>52</v>
      </c>
      <c r="D450" s="2">
        <v>44978</v>
      </c>
      <c r="E450" s="2">
        <v>44984</v>
      </c>
      <c r="F450">
        <v>6</v>
      </c>
      <c r="G450" t="s">
        <v>34</v>
      </c>
      <c r="H450">
        <v>3</v>
      </c>
      <c r="I450" t="s">
        <v>35</v>
      </c>
      <c r="J450">
        <v>15839</v>
      </c>
      <c r="K450" t="s">
        <v>60</v>
      </c>
      <c r="L450" t="s">
        <v>54</v>
      </c>
      <c r="M450" t="s">
        <v>41</v>
      </c>
      <c r="N450" s="2">
        <v>44977</v>
      </c>
      <c r="O450" s="2">
        <v>44977.833333333336</v>
      </c>
      <c r="P450" t="s">
        <v>28</v>
      </c>
      <c r="Q450" t="s">
        <v>29</v>
      </c>
      <c r="R450" t="s">
        <v>43</v>
      </c>
      <c r="S450">
        <v>7</v>
      </c>
      <c r="T450">
        <v>10</v>
      </c>
      <c r="U450" t="s">
        <v>68</v>
      </c>
      <c r="V450" t="str">
        <f t="shared" ref="V450:V513" si="7">TEXT(D450,"mmm-yyyy")</f>
        <v>Feb-2023</v>
      </c>
      <c r="W450" s="16">
        <f>Table1[[#This Row],[Consultation Date]] - Table1[[#This Row],[Appointment Date]]</f>
        <v>0.83333333333575865</v>
      </c>
    </row>
    <row r="451" spans="1:23" x14ac:dyDescent="0.3">
      <c r="A451" t="s">
        <v>508</v>
      </c>
      <c r="B451">
        <v>48</v>
      </c>
      <c r="C451" t="s">
        <v>22</v>
      </c>
      <c r="D451" s="2">
        <v>45182</v>
      </c>
      <c r="E451" s="2">
        <v>45194</v>
      </c>
      <c r="F451">
        <v>12</v>
      </c>
      <c r="G451" t="s">
        <v>40</v>
      </c>
      <c r="H451">
        <v>3</v>
      </c>
      <c r="I451" t="s">
        <v>46</v>
      </c>
      <c r="J451">
        <v>5010</v>
      </c>
      <c r="K451" t="s">
        <v>25</v>
      </c>
      <c r="L451" t="s">
        <v>54</v>
      </c>
      <c r="M451" t="s">
        <v>27</v>
      </c>
      <c r="N451" s="2">
        <v>45147</v>
      </c>
      <c r="O451" s="2">
        <v>45147.125</v>
      </c>
      <c r="P451" t="s">
        <v>42</v>
      </c>
      <c r="Q451" t="s">
        <v>29</v>
      </c>
      <c r="R451" t="s">
        <v>30</v>
      </c>
      <c r="S451">
        <v>10</v>
      </c>
      <c r="T451">
        <v>12</v>
      </c>
      <c r="U451" t="s">
        <v>48</v>
      </c>
      <c r="V451" t="str">
        <f t="shared" si="7"/>
        <v>Sep-2023</v>
      </c>
      <c r="W451" s="16">
        <f>Table1[[#This Row],[Consultation Date]] - Table1[[#This Row],[Appointment Date]]</f>
        <v>0.125</v>
      </c>
    </row>
    <row r="452" spans="1:23" x14ac:dyDescent="0.3">
      <c r="A452" t="s">
        <v>509</v>
      </c>
      <c r="B452">
        <v>85</v>
      </c>
      <c r="C452" t="s">
        <v>52</v>
      </c>
      <c r="D452" s="2">
        <v>45051</v>
      </c>
      <c r="E452" s="2">
        <v>45065</v>
      </c>
      <c r="F452">
        <v>14</v>
      </c>
      <c r="G452" t="s">
        <v>23</v>
      </c>
      <c r="H452">
        <v>4</v>
      </c>
      <c r="I452" t="s">
        <v>24</v>
      </c>
      <c r="J452">
        <v>44098</v>
      </c>
      <c r="K452" t="s">
        <v>67</v>
      </c>
      <c r="L452" t="s">
        <v>26</v>
      </c>
      <c r="M452" t="s">
        <v>27</v>
      </c>
      <c r="N452" s="2">
        <v>45021</v>
      </c>
      <c r="O452" s="2">
        <v>45051.208333333336</v>
      </c>
      <c r="P452" t="s">
        <v>55</v>
      </c>
      <c r="Q452" t="s">
        <v>29</v>
      </c>
      <c r="R452" t="s">
        <v>43</v>
      </c>
      <c r="S452">
        <v>11</v>
      </c>
      <c r="T452">
        <v>8</v>
      </c>
      <c r="U452" t="s">
        <v>31</v>
      </c>
      <c r="V452" t="str">
        <f t="shared" si="7"/>
        <v>May-2023</v>
      </c>
      <c r="W452" s="16">
        <f>Table1[[#This Row],[Consultation Date]] - Table1[[#This Row],[Appointment Date]]</f>
        <v>30.208333333335759</v>
      </c>
    </row>
    <row r="453" spans="1:23" x14ac:dyDescent="0.3">
      <c r="A453" t="s">
        <v>510</v>
      </c>
      <c r="B453">
        <v>39</v>
      </c>
      <c r="C453" t="s">
        <v>33</v>
      </c>
      <c r="D453" s="2">
        <v>45630</v>
      </c>
      <c r="E453" s="2">
        <v>45405</v>
      </c>
      <c r="F453">
        <v>11</v>
      </c>
      <c r="G453" t="s">
        <v>40</v>
      </c>
      <c r="H453">
        <v>5</v>
      </c>
      <c r="I453" t="s">
        <v>71</v>
      </c>
      <c r="J453">
        <v>14230</v>
      </c>
      <c r="K453" t="s">
        <v>36</v>
      </c>
      <c r="L453" t="s">
        <v>26</v>
      </c>
      <c r="M453" t="s">
        <v>27</v>
      </c>
      <c r="N453" s="2">
        <v>45630</v>
      </c>
      <c r="O453" s="2">
        <v>45630.708333333336</v>
      </c>
      <c r="P453" t="s">
        <v>37</v>
      </c>
      <c r="Q453" t="s">
        <v>29</v>
      </c>
      <c r="R453" t="s">
        <v>47</v>
      </c>
      <c r="S453">
        <v>7</v>
      </c>
      <c r="T453">
        <v>12</v>
      </c>
      <c r="U453" t="s">
        <v>68</v>
      </c>
      <c r="V453" t="str">
        <f t="shared" si="7"/>
        <v>Dec-2024</v>
      </c>
      <c r="W453" s="16">
        <f>Table1[[#This Row],[Consultation Date]] - Table1[[#This Row],[Appointment Date]]</f>
        <v>0.70833333333575865</v>
      </c>
    </row>
    <row r="454" spans="1:23" x14ac:dyDescent="0.3">
      <c r="A454" t="s">
        <v>511</v>
      </c>
      <c r="B454">
        <v>33</v>
      </c>
      <c r="C454" t="s">
        <v>41</v>
      </c>
      <c r="D454" s="2">
        <v>45063</v>
      </c>
      <c r="E454" s="2">
        <v>45077</v>
      </c>
      <c r="F454">
        <v>14</v>
      </c>
      <c r="G454" t="s">
        <v>40</v>
      </c>
      <c r="H454">
        <v>2</v>
      </c>
      <c r="I454" t="s">
        <v>71</v>
      </c>
      <c r="J454">
        <v>45232</v>
      </c>
      <c r="K454" t="s">
        <v>53</v>
      </c>
      <c r="L454" t="s">
        <v>54</v>
      </c>
      <c r="M454" t="s">
        <v>41</v>
      </c>
      <c r="N454" s="2">
        <v>45063</v>
      </c>
      <c r="O454" s="2">
        <v>45063.958333333336</v>
      </c>
      <c r="P454" t="s">
        <v>42</v>
      </c>
      <c r="Q454" t="s">
        <v>29</v>
      </c>
      <c r="R454" t="s">
        <v>30</v>
      </c>
      <c r="S454">
        <v>8</v>
      </c>
      <c r="T454">
        <v>12</v>
      </c>
      <c r="U454" t="s">
        <v>31</v>
      </c>
      <c r="V454" t="str">
        <f t="shared" si="7"/>
        <v>May-2023</v>
      </c>
      <c r="W454" s="16">
        <f>Table1[[#This Row],[Consultation Date]] - Table1[[#This Row],[Appointment Date]]</f>
        <v>0.95833333333575865</v>
      </c>
    </row>
    <row r="455" spans="1:23" x14ac:dyDescent="0.3">
      <c r="A455" t="s">
        <v>512</v>
      </c>
      <c r="B455">
        <v>23</v>
      </c>
      <c r="C455" t="s">
        <v>52</v>
      </c>
      <c r="D455" s="2">
        <v>45402</v>
      </c>
      <c r="E455" s="2">
        <v>45405</v>
      </c>
      <c r="F455">
        <v>3</v>
      </c>
      <c r="G455" t="s">
        <v>23</v>
      </c>
      <c r="H455">
        <v>5</v>
      </c>
      <c r="I455" t="s">
        <v>35</v>
      </c>
      <c r="J455">
        <v>40771</v>
      </c>
      <c r="K455" t="s">
        <v>25</v>
      </c>
      <c r="L455" t="s">
        <v>54</v>
      </c>
      <c r="M455" t="s">
        <v>27</v>
      </c>
      <c r="N455" s="2">
        <v>45399</v>
      </c>
      <c r="O455" s="2">
        <v>45399.25</v>
      </c>
      <c r="P455" t="s">
        <v>55</v>
      </c>
      <c r="Q455" t="s">
        <v>29</v>
      </c>
      <c r="R455" t="s">
        <v>30</v>
      </c>
      <c r="S455">
        <v>11</v>
      </c>
      <c r="T455">
        <v>12</v>
      </c>
      <c r="U455" t="s">
        <v>68</v>
      </c>
      <c r="V455" t="str">
        <f t="shared" si="7"/>
        <v>Apr-2024</v>
      </c>
      <c r="W455" s="16">
        <f>Table1[[#This Row],[Consultation Date]] - Table1[[#This Row],[Appointment Date]]</f>
        <v>0.25</v>
      </c>
    </row>
    <row r="456" spans="1:23" x14ac:dyDescent="0.3">
      <c r="A456" t="s">
        <v>513</v>
      </c>
      <c r="B456">
        <v>10</v>
      </c>
      <c r="C456" t="s">
        <v>45</v>
      </c>
      <c r="D456" s="2">
        <v>45251</v>
      </c>
      <c r="E456" s="2">
        <v>45255</v>
      </c>
      <c r="F456">
        <v>4</v>
      </c>
      <c r="G456" t="s">
        <v>34</v>
      </c>
      <c r="H456">
        <v>1</v>
      </c>
      <c r="I456" t="s">
        <v>71</v>
      </c>
      <c r="J456">
        <v>34256</v>
      </c>
      <c r="K456" t="s">
        <v>67</v>
      </c>
      <c r="L456" t="s">
        <v>54</v>
      </c>
      <c r="M456" t="s">
        <v>41</v>
      </c>
      <c r="N456" s="2">
        <v>45249</v>
      </c>
      <c r="O456" s="2">
        <v>45250.208333333336</v>
      </c>
      <c r="P456" t="s">
        <v>28</v>
      </c>
      <c r="Q456" t="s">
        <v>29</v>
      </c>
      <c r="R456" t="s">
        <v>30</v>
      </c>
      <c r="S456">
        <v>4</v>
      </c>
      <c r="T456">
        <v>8</v>
      </c>
      <c r="U456" t="s">
        <v>48</v>
      </c>
      <c r="V456" t="str">
        <f t="shared" si="7"/>
        <v>Nov-2023</v>
      </c>
      <c r="W456" s="16">
        <f>Table1[[#This Row],[Consultation Date]] - Table1[[#This Row],[Appointment Date]]</f>
        <v>1.2083333333357587</v>
      </c>
    </row>
    <row r="457" spans="1:23" x14ac:dyDescent="0.3">
      <c r="A457" t="s">
        <v>514</v>
      </c>
      <c r="B457">
        <v>69</v>
      </c>
      <c r="C457" t="s">
        <v>41</v>
      </c>
      <c r="D457" s="2">
        <v>45380</v>
      </c>
      <c r="E457" s="2">
        <v>45382</v>
      </c>
      <c r="F457">
        <v>2</v>
      </c>
      <c r="G457" t="s">
        <v>63</v>
      </c>
      <c r="H457">
        <v>2</v>
      </c>
      <c r="I457" t="s">
        <v>35</v>
      </c>
      <c r="J457">
        <v>30651</v>
      </c>
      <c r="K457" t="s">
        <v>67</v>
      </c>
      <c r="L457" t="s">
        <v>54</v>
      </c>
      <c r="M457" t="s">
        <v>41</v>
      </c>
      <c r="N457" s="2">
        <v>45375</v>
      </c>
      <c r="O457" s="2">
        <v>45375.333333333336</v>
      </c>
      <c r="P457" t="s">
        <v>37</v>
      </c>
      <c r="Q457" t="s">
        <v>29</v>
      </c>
      <c r="R457" t="s">
        <v>30</v>
      </c>
      <c r="S457">
        <v>7</v>
      </c>
      <c r="T457">
        <v>12</v>
      </c>
      <c r="U457" t="s">
        <v>31</v>
      </c>
      <c r="V457" t="str">
        <f t="shared" si="7"/>
        <v>Mar-2024</v>
      </c>
      <c r="W457" s="16">
        <f>Table1[[#This Row],[Consultation Date]] - Table1[[#This Row],[Appointment Date]]</f>
        <v>0.33333333333575865</v>
      </c>
    </row>
    <row r="458" spans="1:23" x14ac:dyDescent="0.3">
      <c r="A458" t="s">
        <v>515</v>
      </c>
      <c r="B458">
        <v>34</v>
      </c>
      <c r="C458" t="s">
        <v>52</v>
      </c>
      <c r="D458" s="2">
        <v>45443</v>
      </c>
      <c r="E458" s="2">
        <v>45357</v>
      </c>
      <c r="F458">
        <v>3</v>
      </c>
      <c r="G458" t="s">
        <v>34</v>
      </c>
      <c r="H458">
        <v>3</v>
      </c>
      <c r="I458" t="s">
        <v>46</v>
      </c>
      <c r="J458">
        <v>37383</v>
      </c>
      <c r="K458" t="s">
        <v>67</v>
      </c>
      <c r="L458" t="s">
        <v>54</v>
      </c>
      <c r="M458" t="s">
        <v>41</v>
      </c>
      <c r="N458" s="2">
        <v>45440</v>
      </c>
      <c r="O458" s="2">
        <v>45440.666666666664</v>
      </c>
      <c r="P458" t="s">
        <v>42</v>
      </c>
      <c r="Q458" t="s">
        <v>38</v>
      </c>
      <c r="R458" t="s">
        <v>43</v>
      </c>
      <c r="S458">
        <v>9</v>
      </c>
      <c r="T458">
        <v>8</v>
      </c>
      <c r="U458" t="s">
        <v>31</v>
      </c>
      <c r="V458" t="str">
        <f t="shared" si="7"/>
        <v>May-2024</v>
      </c>
      <c r="W458" s="16">
        <f>Table1[[#This Row],[Consultation Date]] - Table1[[#This Row],[Appointment Date]]</f>
        <v>0.66666666666424135</v>
      </c>
    </row>
    <row r="459" spans="1:23" x14ac:dyDescent="0.3">
      <c r="A459" t="s">
        <v>516</v>
      </c>
      <c r="B459">
        <v>52</v>
      </c>
      <c r="C459" t="s">
        <v>41</v>
      </c>
      <c r="D459" s="2">
        <v>45629</v>
      </c>
      <c r="E459" s="2">
        <v>45368</v>
      </c>
      <c r="F459">
        <v>5</v>
      </c>
      <c r="G459" t="s">
        <v>57</v>
      </c>
      <c r="H459">
        <v>4</v>
      </c>
      <c r="I459" t="s">
        <v>24</v>
      </c>
      <c r="J459">
        <v>44963</v>
      </c>
      <c r="K459" t="s">
        <v>36</v>
      </c>
      <c r="L459" t="s">
        <v>26</v>
      </c>
      <c r="M459" t="s">
        <v>41</v>
      </c>
      <c r="N459" s="2">
        <v>45629</v>
      </c>
      <c r="O459" s="2">
        <v>45629.583333333336</v>
      </c>
      <c r="P459" t="s">
        <v>37</v>
      </c>
      <c r="Q459" t="s">
        <v>29</v>
      </c>
      <c r="R459" t="s">
        <v>30</v>
      </c>
      <c r="S459">
        <v>10</v>
      </c>
      <c r="T459">
        <v>10</v>
      </c>
      <c r="U459" t="s">
        <v>68</v>
      </c>
      <c r="V459" t="str">
        <f t="shared" si="7"/>
        <v>Dec-2024</v>
      </c>
      <c r="W459" s="16">
        <f>Table1[[#This Row],[Consultation Date]] - Table1[[#This Row],[Appointment Date]]</f>
        <v>0.58333333333575865</v>
      </c>
    </row>
    <row r="460" spans="1:23" x14ac:dyDescent="0.3">
      <c r="A460" t="s">
        <v>517</v>
      </c>
      <c r="B460">
        <v>10</v>
      </c>
      <c r="C460" t="s">
        <v>41</v>
      </c>
      <c r="D460" s="2">
        <v>45295</v>
      </c>
      <c r="E460" s="2">
        <v>45416</v>
      </c>
      <c r="F460">
        <v>4</v>
      </c>
      <c r="G460" t="s">
        <v>23</v>
      </c>
      <c r="H460">
        <v>4</v>
      </c>
      <c r="I460" t="s">
        <v>46</v>
      </c>
      <c r="J460">
        <v>18662</v>
      </c>
      <c r="K460" t="s">
        <v>36</v>
      </c>
      <c r="L460" t="s">
        <v>26</v>
      </c>
      <c r="M460" t="s">
        <v>27</v>
      </c>
      <c r="N460" s="2">
        <v>45378</v>
      </c>
      <c r="O460" s="2">
        <v>45380</v>
      </c>
      <c r="P460" t="s">
        <v>55</v>
      </c>
      <c r="Q460" t="s">
        <v>29</v>
      </c>
      <c r="R460" t="s">
        <v>30</v>
      </c>
      <c r="S460">
        <v>7</v>
      </c>
      <c r="T460">
        <v>12</v>
      </c>
      <c r="U460" t="s">
        <v>68</v>
      </c>
      <c r="V460" t="str">
        <f t="shared" si="7"/>
        <v>Jan-2024</v>
      </c>
      <c r="W460" s="16">
        <f>Table1[[#This Row],[Consultation Date]] - Table1[[#This Row],[Appointment Date]]</f>
        <v>2</v>
      </c>
    </row>
    <row r="461" spans="1:23" x14ac:dyDescent="0.3">
      <c r="A461" t="s">
        <v>518</v>
      </c>
      <c r="B461">
        <v>19</v>
      </c>
      <c r="C461" t="s">
        <v>41</v>
      </c>
      <c r="D461" s="2">
        <v>45266</v>
      </c>
      <c r="E461" s="2">
        <v>45092</v>
      </c>
      <c r="F461">
        <v>3</v>
      </c>
      <c r="G461" t="s">
        <v>34</v>
      </c>
      <c r="H461">
        <v>3</v>
      </c>
      <c r="I461" t="s">
        <v>66</v>
      </c>
      <c r="J461">
        <v>18739</v>
      </c>
      <c r="K461" t="s">
        <v>36</v>
      </c>
      <c r="L461" t="s">
        <v>26</v>
      </c>
      <c r="M461" t="s">
        <v>41</v>
      </c>
      <c r="N461" s="2">
        <v>45236</v>
      </c>
      <c r="O461" s="2">
        <v>45266.583333333336</v>
      </c>
      <c r="P461" t="s">
        <v>64</v>
      </c>
      <c r="Q461" t="s">
        <v>29</v>
      </c>
      <c r="R461" t="s">
        <v>43</v>
      </c>
      <c r="S461">
        <v>8</v>
      </c>
      <c r="T461">
        <v>12</v>
      </c>
      <c r="U461" t="s">
        <v>68</v>
      </c>
      <c r="V461" t="str">
        <f t="shared" si="7"/>
        <v>Dec-2023</v>
      </c>
      <c r="W461" s="16">
        <f>Table1[[#This Row],[Consultation Date]] - Table1[[#This Row],[Appointment Date]]</f>
        <v>30.583333333335759</v>
      </c>
    </row>
    <row r="462" spans="1:23" x14ac:dyDescent="0.3">
      <c r="A462" t="s">
        <v>519</v>
      </c>
      <c r="B462">
        <v>58</v>
      </c>
      <c r="C462" t="s">
        <v>33</v>
      </c>
      <c r="D462" s="2">
        <v>45296</v>
      </c>
      <c r="E462" s="2">
        <v>45601</v>
      </c>
      <c r="F462">
        <v>10</v>
      </c>
      <c r="G462" t="s">
        <v>40</v>
      </c>
      <c r="H462">
        <v>1</v>
      </c>
      <c r="I462" t="s">
        <v>66</v>
      </c>
      <c r="J462">
        <v>6789</v>
      </c>
      <c r="K462" t="s">
        <v>60</v>
      </c>
      <c r="L462" t="s">
        <v>26</v>
      </c>
      <c r="M462" t="s">
        <v>27</v>
      </c>
      <c r="N462" s="2">
        <v>45296</v>
      </c>
      <c r="O462" s="2">
        <v>45327.875</v>
      </c>
      <c r="P462" t="s">
        <v>37</v>
      </c>
      <c r="Q462" t="s">
        <v>29</v>
      </c>
      <c r="R462" t="s">
        <v>30</v>
      </c>
      <c r="S462">
        <v>6</v>
      </c>
      <c r="T462">
        <v>8</v>
      </c>
      <c r="U462" t="s">
        <v>31</v>
      </c>
      <c r="V462" t="str">
        <f t="shared" si="7"/>
        <v>Jan-2024</v>
      </c>
      <c r="W462" s="16">
        <f>Table1[[#This Row],[Consultation Date]] - Table1[[#This Row],[Appointment Date]]</f>
        <v>31.875</v>
      </c>
    </row>
    <row r="463" spans="1:23" x14ac:dyDescent="0.3">
      <c r="A463" t="s">
        <v>520</v>
      </c>
      <c r="B463">
        <v>1</v>
      </c>
      <c r="C463" t="s">
        <v>45</v>
      </c>
      <c r="D463" s="2">
        <v>45416</v>
      </c>
      <c r="E463" s="2">
        <v>45508</v>
      </c>
      <c r="F463">
        <v>3</v>
      </c>
      <c r="G463" t="s">
        <v>23</v>
      </c>
      <c r="H463">
        <v>3</v>
      </c>
      <c r="I463" t="s">
        <v>66</v>
      </c>
      <c r="J463">
        <v>24420</v>
      </c>
      <c r="K463" t="s">
        <v>67</v>
      </c>
      <c r="L463" t="s">
        <v>26</v>
      </c>
      <c r="M463" t="s">
        <v>27</v>
      </c>
      <c r="N463" s="2">
        <v>45295</v>
      </c>
      <c r="O463" s="2">
        <v>45295.958333333336</v>
      </c>
      <c r="P463" t="s">
        <v>37</v>
      </c>
      <c r="Q463" t="s">
        <v>29</v>
      </c>
      <c r="R463" t="s">
        <v>43</v>
      </c>
      <c r="S463">
        <v>8</v>
      </c>
      <c r="T463">
        <v>12</v>
      </c>
      <c r="U463" t="s">
        <v>48</v>
      </c>
      <c r="V463" t="str">
        <f t="shared" si="7"/>
        <v>May-2024</v>
      </c>
      <c r="W463" s="16">
        <f>Table1[[#This Row],[Consultation Date]] - Table1[[#This Row],[Appointment Date]]</f>
        <v>0.95833333333575865</v>
      </c>
    </row>
    <row r="464" spans="1:23" x14ac:dyDescent="0.3">
      <c r="A464" t="s">
        <v>521</v>
      </c>
      <c r="B464">
        <v>69</v>
      </c>
      <c r="C464" t="s">
        <v>62</v>
      </c>
      <c r="D464" s="2">
        <v>45192</v>
      </c>
      <c r="E464" s="2">
        <v>45087</v>
      </c>
      <c r="F464">
        <v>13</v>
      </c>
      <c r="G464" t="s">
        <v>50</v>
      </c>
      <c r="H464">
        <v>1</v>
      </c>
      <c r="I464" t="s">
        <v>46</v>
      </c>
      <c r="J464">
        <v>28761</v>
      </c>
      <c r="K464" t="s">
        <v>25</v>
      </c>
      <c r="L464" t="s">
        <v>54</v>
      </c>
      <c r="M464" t="s">
        <v>27</v>
      </c>
      <c r="N464" s="2">
        <v>45191</v>
      </c>
      <c r="O464" s="2">
        <v>45192.916666666664</v>
      </c>
      <c r="P464" t="s">
        <v>28</v>
      </c>
      <c r="Q464" t="s">
        <v>29</v>
      </c>
      <c r="R464" t="s">
        <v>43</v>
      </c>
      <c r="S464">
        <v>5</v>
      </c>
      <c r="T464">
        <v>8</v>
      </c>
      <c r="U464" t="s">
        <v>48</v>
      </c>
      <c r="V464" t="str">
        <f t="shared" si="7"/>
        <v>Sep-2023</v>
      </c>
      <c r="W464" s="16">
        <f>Table1[[#This Row],[Consultation Date]] - Table1[[#This Row],[Appointment Date]]</f>
        <v>1.9166666666642413</v>
      </c>
    </row>
    <row r="465" spans="1:23" x14ac:dyDescent="0.3">
      <c r="A465" t="s">
        <v>522</v>
      </c>
      <c r="B465">
        <v>4</v>
      </c>
      <c r="C465" t="s">
        <v>62</v>
      </c>
      <c r="D465" s="2">
        <v>45239</v>
      </c>
      <c r="E465" s="2">
        <v>45193</v>
      </c>
      <c r="F465">
        <v>13</v>
      </c>
      <c r="G465" t="s">
        <v>34</v>
      </c>
      <c r="H465">
        <v>2</v>
      </c>
      <c r="I465" t="s">
        <v>71</v>
      </c>
      <c r="J465">
        <v>45366</v>
      </c>
      <c r="K465" t="s">
        <v>36</v>
      </c>
      <c r="L465" t="s">
        <v>54</v>
      </c>
      <c r="M465" t="s">
        <v>27</v>
      </c>
      <c r="N465" s="2">
        <v>45147</v>
      </c>
      <c r="O465" s="2">
        <v>45178.666666666664</v>
      </c>
      <c r="P465" t="s">
        <v>55</v>
      </c>
      <c r="Q465" t="s">
        <v>29</v>
      </c>
      <c r="R465" t="s">
        <v>30</v>
      </c>
      <c r="S465">
        <v>11</v>
      </c>
      <c r="T465">
        <v>12</v>
      </c>
      <c r="U465" t="s">
        <v>68</v>
      </c>
      <c r="V465" t="str">
        <f t="shared" si="7"/>
        <v>Nov-2023</v>
      </c>
      <c r="W465" s="16">
        <f>Table1[[#This Row],[Consultation Date]] - Table1[[#This Row],[Appointment Date]]</f>
        <v>31.666666666664241</v>
      </c>
    </row>
    <row r="466" spans="1:23" x14ac:dyDescent="0.3">
      <c r="A466" t="s">
        <v>523</v>
      </c>
      <c r="B466">
        <v>16</v>
      </c>
      <c r="C466" t="s">
        <v>52</v>
      </c>
      <c r="D466" s="2">
        <v>45240</v>
      </c>
      <c r="E466" s="2">
        <v>45221</v>
      </c>
      <c r="F466">
        <v>11</v>
      </c>
      <c r="G466" t="s">
        <v>23</v>
      </c>
      <c r="H466">
        <v>3</v>
      </c>
      <c r="I466" t="s">
        <v>24</v>
      </c>
      <c r="J466">
        <v>42606</v>
      </c>
      <c r="K466" t="s">
        <v>36</v>
      </c>
      <c r="L466" t="s">
        <v>54</v>
      </c>
      <c r="M466" t="s">
        <v>27</v>
      </c>
      <c r="N466" s="2">
        <v>45087</v>
      </c>
      <c r="O466" s="2">
        <v>45117.708333333336</v>
      </c>
      <c r="P466" t="s">
        <v>37</v>
      </c>
      <c r="Q466" t="s">
        <v>38</v>
      </c>
      <c r="R466" t="s">
        <v>47</v>
      </c>
      <c r="S466">
        <v>10</v>
      </c>
      <c r="T466">
        <v>10</v>
      </c>
      <c r="U466" t="s">
        <v>48</v>
      </c>
      <c r="V466" t="str">
        <f t="shared" si="7"/>
        <v>Nov-2023</v>
      </c>
      <c r="W466" s="16">
        <f>Table1[[#This Row],[Consultation Date]] - Table1[[#This Row],[Appointment Date]]</f>
        <v>30.708333333335759</v>
      </c>
    </row>
    <row r="467" spans="1:23" x14ac:dyDescent="0.3">
      <c r="A467" t="s">
        <v>524</v>
      </c>
      <c r="B467">
        <v>24</v>
      </c>
      <c r="C467" t="s">
        <v>41</v>
      </c>
      <c r="D467" s="2">
        <v>45460</v>
      </c>
      <c r="E467" s="2">
        <v>45462</v>
      </c>
      <c r="F467">
        <v>2</v>
      </c>
      <c r="G467" t="s">
        <v>34</v>
      </c>
      <c r="H467">
        <v>1</v>
      </c>
      <c r="I467" t="s">
        <v>66</v>
      </c>
      <c r="J467">
        <v>43640</v>
      </c>
      <c r="K467" t="s">
        <v>67</v>
      </c>
      <c r="L467" t="s">
        <v>26</v>
      </c>
      <c r="M467" t="s">
        <v>27</v>
      </c>
      <c r="N467" s="2">
        <v>45457</v>
      </c>
      <c r="O467" s="2">
        <v>45458.166666666664</v>
      </c>
      <c r="P467" t="s">
        <v>55</v>
      </c>
      <c r="Q467" t="s">
        <v>29</v>
      </c>
      <c r="R467" t="s">
        <v>30</v>
      </c>
      <c r="S467">
        <v>5</v>
      </c>
      <c r="T467">
        <v>10</v>
      </c>
      <c r="U467" t="s">
        <v>68</v>
      </c>
      <c r="V467" t="str">
        <f t="shared" si="7"/>
        <v>Jun-2024</v>
      </c>
      <c r="W467" s="16">
        <f>Table1[[#This Row],[Consultation Date]] - Table1[[#This Row],[Appointment Date]]</f>
        <v>1.1666666666642413</v>
      </c>
    </row>
    <row r="468" spans="1:23" x14ac:dyDescent="0.3">
      <c r="A468" t="s">
        <v>525</v>
      </c>
      <c r="B468">
        <v>80</v>
      </c>
      <c r="C468" t="s">
        <v>52</v>
      </c>
      <c r="D468" s="2">
        <v>45601</v>
      </c>
      <c r="E468" s="2">
        <v>45426</v>
      </c>
      <c r="F468">
        <v>3</v>
      </c>
      <c r="G468" t="s">
        <v>23</v>
      </c>
      <c r="H468">
        <v>2</v>
      </c>
      <c r="I468" t="s">
        <v>66</v>
      </c>
      <c r="J468">
        <v>49135</v>
      </c>
      <c r="K468" t="s">
        <v>36</v>
      </c>
      <c r="L468" t="s">
        <v>26</v>
      </c>
      <c r="M468" t="s">
        <v>41</v>
      </c>
      <c r="N468" s="2">
        <v>45509</v>
      </c>
      <c r="O468" s="2">
        <v>45509.458333333336</v>
      </c>
      <c r="P468" t="s">
        <v>28</v>
      </c>
      <c r="Q468" t="s">
        <v>29</v>
      </c>
      <c r="R468" t="s">
        <v>47</v>
      </c>
      <c r="S468">
        <v>7</v>
      </c>
      <c r="T468">
        <v>10</v>
      </c>
      <c r="U468" t="s">
        <v>48</v>
      </c>
      <c r="V468" t="str">
        <f t="shared" si="7"/>
        <v>Nov-2024</v>
      </c>
      <c r="W468" s="16">
        <f>Table1[[#This Row],[Consultation Date]] - Table1[[#This Row],[Appointment Date]]</f>
        <v>0.45833333333575865</v>
      </c>
    </row>
    <row r="469" spans="1:23" x14ac:dyDescent="0.3">
      <c r="A469" t="s">
        <v>526</v>
      </c>
      <c r="B469">
        <v>2</v>
      </c>
      <c r="C469" t="s">
        <v>33</v>
      </c>
      <c r="D469" s="2">
        <v>44966</v>
      </c>
      <c r="E469" s="2">
        <v>45184</v>
      </c>
      <c r="F469">
        <v>13</v>
      </c>
      <c r="G469" t="s">
        <v>40</v>
      </c>
      <c r="H469">
        <v>3</v>
      </c>
      <c r="I469" t="s">
        <v>66</v>
      </c>
      <c r="J469">
        <v>42067</v>
      </c>
      <c r="K469" t="s">
        <v>60</v>
      </c>
      <c r="L469" t="s">
        <v>26</v>
      </c>
      <c r="M469" t="s">
        <v>27</v>
      </c>
      <c r="N469" s="2">
        <v>45166</v>
      </c>
      <c r="O469" s="2">
        <v>45167.666666666664</v>
      </c>
      <c r="P469" t="s">
        <v>55</v>
      </c>
      <c r="Q469" t="s">
        <v>38</v>
      </c>
      <c r="R469" t="s">
        <v>43</v>
      </c>
      <c r="S469">
        <v>7</v>
      </c>
      <c r="T469">
        <v>12</v>
      </c>
      <c r="U469" t="s">
        <v>31</v>
      </c>
      <c r="V469" t="str">
        <f t="shared" si="7"/>
        <v>Feb-2023</v>
      </c>
      <c r="W469" s="16">
        <f>Table1[[#This Row],[Consultation Date]] - Table1[[#This Row],[Appointment Date]]</f>
        <v>1.6666666666642413</v>
      </c>
    </row>
    <row r="470" spans="1:23" x14ac:dyDescent="0.3">
      <c r="A470" t="s">
        <v>527</v>
      </c>
      <c r="B470">
        <v>32</v>
      </c>
      <c r="C470" t="s">
        <v>33</v>
      </c>
      <c r="D470" s="2">
        <v>45179</v>
      </c>
      <c r="E470" s="2">
        <v>45219</v>
      </c>
      <c r="F470">
        <v>11</v>
      </c>
      <c r="G470" t="s">
        <v>50</v>
      </c>
      <c r="H470">
        <v>4</v>
      </c>
      <c r="I470" t="s">
        <v>24</v>
      </c>
      <c r="J470">
        <v>22357</v>
      </c>
      <c r="K470" t="s">
        <v>60</v>
      </c>
      <c r="L470" t="s">
        <v>26</v>
      </c>
      <c r="M470" t="s">
        <v>41</v>
      </c>
      <c r="N470" s="2">
        <v>45148</v>
      </c>
      <c r="O470" s="2">
        <v>45148.375</v>
      </c>
      <c r="P470" t="s">
        <v>28</v>
      </c>
      <c r="Q470" t="s">
        <v>29</v>
      </c>
      <c r="R470" t="s">
        <v>47</v>
      </c>
      <c r="S470">
        <v>8</v>
      </c>
      <c r="T470">
        <v>12</v>
      </c>
      <c r="U470" t="s">
        <v>68</v>
      </c>
      <c r="V470" t="str">
        <f t="shared" si="7"/>
        <v>Sep-2023</v>
      </c>
      <c r="W470" s="16">
        <f>Table1[[#This Row],[Consultation Date]] - Table1[[#This Row],[Appointment Date]]</f>
        <v>0.375</v>
      </c>
    </row>
    <row r="471" spans="1:23" x14ac:dyDescent="0.3">
      <c r="A471" t="s">
        <v>528</v>
      </c>
      <c r="B471">
        <v>84</v>
      </c>
      <c r="C471" t="s">
        <v>22</v>
      </c>
      <c r="D471" s="2">
        <v>45377</v>
      </c>
      <c r="E471" s="2">
        <v>45355</v>
      </c>
      <c r="F471">
        <v>8</v>
      </c>
      <c r="G471" t="s">
        <v>50</v>
      </c>
      <c r="H471">
        <v>3</v>
      </c>
      <c r="I471" t="s">
        <v>66</v>
      </c>
      <c r="J471">
        <v>44851</v>
      </c>
      <c r="K471" t="s">
        <v>36</v>
      </c>
      <c r="L471" t="s">
        <v>26</v>
      </c>
      <c r="M471" t="s">
        <v>41</v>
      </c>
      <c r="N471" s="2">
        <v>45375</v>
      </c>
      <c r="O471" s="2">
        <v>45375.583333333336</v>
      </c>
      <c r="P471" t="s">
        <v>28</v>
      </c>
      <c r="Q471" t="s">
        <v>38</v>
      </c>
      <c r="R471" t="s">
        <v>30</v>
      </c>
      <c r="S471">
        <v>8</v>
      </c>
      <c r="T471">
        <v>10</v>
      </c>
      <c r="U471" t="s">
        <v>48</v>
      </c>
      <c r="V471" t="str">
        <f t="shared" si="7"/>
        <v>Mar-2024</v>
      </c>
      <c r="W471" s="16">
        <f>Table1[[#This Row],[Consultation Date]] - Table1[[#This Row],[Appointment Date]]</f>
        <v>0.58333333333575865</v>
      </c>
    </row>
    <row r="472" spans="1:23" x14ac:dyDescent="0.3">
      <c r="A472" t="s">
        <v>529</v>
      </c>
      <c r="B472">
        <v>24</v>
      </c>
      <c r="C472" t="s">
        <v>33</v>
      </c>
      <c r="D472" s="2">
        <v>45006</v>
      </c>
      <c r="E472" s="2">
        <v>45014</v>
      </c>
      <c r="F472">
        <v>8</v>
      </c>
      <c r="G472" t="s">
        <v>57</v>
      </c>
      <c r="H472">
        <v>5</v>
      </c>
      <c r="I472" t="s">
        <v>24</v>
      </c>
      <c r="J472">
        <v>43262</v>
      </c>
      <c r="K472" t="s">
        <v>67</v>
      </c>
      <c r="L472" t="s">
        <v>26</v>
      </c>
      <c r="M472" t="s">
        <v>41</v>
      </c>
      <c r="N472" s="2">
        <v>45004</v>
      </c>
      <c r="O472" s="2">
        <v>45004.583333333336</v>
      </c>
      <c r="P472" t="s">
        <v>42</v>
      </c>
      <c r="Q472" t="s">
        <v>38</v>
      </c>
      <c r="R472" t="s">
        <v>30</v>
      </c>
      <c r="S472">
        <v>9</v>
      </c>
      <c r="T472">
        <v>10</v>
      </c>
      <c r="U472" t="s">
        <v>31</v>
      </c>
      <c r="V472" t="str">
        <f t="shared" si="7"/>
        <v>Mar-2023</v>
      </c>
      <c r="W472" s="16">
        <f>Table1[[#This Row],[Consultation Date]] - Table1[[#This Row],[Appointment Date]]</f>
        <v>0.58333333333575865</v>
      </c>
    </row>
    <row r="473" spans="1:23" x14ac:dyDescent="0.3">
      <c r="A473" t="s">
        <v>530</v>
      </c>
      <c r="B473">
        <v>12</v>
      </c>
      <c r="C473" t="s">
        <v>22</v>
      </c>
      <c r="D473" s="2">
        <v>45219</v>
      </c>
      <c r="E473" s="2">
        <v>44968</v>
      </c>
      <c r="F473">
        <v>13</v>
      </c>
      <c r="G473" t="s">
        <v>23</v>
      </c>
      <c r="H473">
        <v>3</v>
      </c>
      <c r="I473" t="s">
        <v>66</v>
      </c>
      <c r="J473">
        <v>16317</v>
      </c>
      <c r="K473" t="s">
        <v>67</v>
      </c>
      <c r="L473" t="s">
        <v>54</v>
      </c>
      <c r="M473" t="s">
        <v>27</v>
      </c>
      <c r="N473" s="2">
        <v>45217</v>
      </c>
      <c r="O473" s="2">
        <v>45217.166666666664</v>
      </c>
      <c r="P473" t="s">
        <v>55</v>
      </c>
      <c r="Q473" t="s">
        <v>29</v>
      </c>
      <c r="R473" t="s">
        <v>47</v>
      </c>
      <c r="S473">
        <v>4</v>
      </c>
      <c r="T473">
        <v>8</v>
      </c>
      <c r="U473" t="s">
        <v>48</v>
      </c>
      <c r="V473" t="str">
        <f t="shared" si="7"/>
        <v>Oct-2023</v>
      </c>
      <c r="W473" s="16">
        <f>Table1[[#This Row],[Consultation Date]] - Table1[[#This Row],[Appointment Date]]</f>
        <v>0.16666666666424135</v>
      </c>
    </row>
    <row r="474" spans="1:23" x14ac:dyDescent="0.3">
      <c r="A474" t="s">
        <v>531</v>
      </c>
      <c r="B474">
        <v>50</v>
      </c>
      <c r="C474" t="s">
        <v>45</v>
      </c>
      <c r="D474" s="2">
        <v>45167</v>
      </c>
      <c r="E474" s="2">
        <v>45147</v>
      </c>
      <c r="F474">
        <v>10</v>
      </c>
      <c r="G474" t="s">
        <v>34</v>
      </c>
      <c r="H474">
        <v>5</v>
      </c>
      <c r="I474" t="s">
        <v>46</v>
      </c>
      <c r="J474">
        <v>26534</v>
      </c>
      <c r="K474" t="s">
        <v>67</v>
      </c>
      <c r="L474" t="s">
        <v>26</v>
      </c>
      <c r="M474" t="s">
        <v>41</v>
      </c>
      <c r="N474" s="2">
        <v>45162</v>
      </c>
      <c r="O474" s="2">
        <v>45163.541666666664</v>
      </c>
      <c r="P474" t="s">
        <v>64</v>
      </c>
      <c r="Q474" t="s">
        <v>29</v>
      </c>
      <c r="R474" t="s">
        <v>30</v>
      </c>
      <c r="S474">
        <v>9</v>
      </c>
      <c r="T474">
        <v>8</v>
      </c>
      <c r="U474" t="s">
        <v>31</v>
      </c>
      <c r="V474" t="str">
        <f t="shared" si="7"/>
        <v>Aug-2023</v>
      </c>
      <c r="W474" s="16">
        <f>Table1[[#This Row],[Consultation Date]] - Table1[[#This Row],[Appointment Date]]</f>
        <v>1.5416666666642413</v>
      </c>
    </row>
    <row r="475" spans="1:23" x14ac:dyDescent="0.3">
      <c r="A475" t="s">
        <v>532</v>
      </c>
      <c r="B475">
        <v>35</v>
      </c>
      <c r="C475" t="s">
        <v>52</v>
      </c>
      <c r="D475" s="2">
        <v>45087</v>
      </c>
      <c r="E475" s="2">
        <v>45218</v>
      </c>
      <c r="F475">
        <v>13</v>
      </c>
      <c r="G475" t="s">
        <v>50</v>
      </c>
      <c r="H475">
        <v>2</v>
      </c>
      <c r="I475" t="s">
        <v>46</v>
      </c>
      <c r="J475">
        <v>30734</v>
      </c>
      <c r="K475" t="s">
        <v>53</v>
      </c>
      <c r="L475" t="s">
        <v>54</v>
      </c>
      <c r="M475" t="s">
        <v>27</v>
      </c>
      <c r="N475" s="2">
        <v>45087</v>
      </c>
      <c r="O475" s="2">
        <v>45087.958333333336</v>
      </c>
      <c r="P475" t="s">
        <v>42</v>
      </c>
      <c r="Q475" t="s">
        <v>29</v>
      </c>
      <c r="R475" t="s">
        <v>47</v>
      </c>
      <c r="S475">
        <v>5</v>
      </c>
      <c r="T475">
        <v>10</v>
      </c>
      <c r="U475" t="s">
        <v>31</v>
      </c>
      <c r="V475" t="str">
        <f t="shared" si="7"/>
        <v>Jun-2023</v>
      </c>
      <c r="W475" s="16">
        <f>Table1[[#This Row],[Consultation Date]] - Table1[[#This Row],[Appointment Date]]</f>
        <v>0.95833333333575865</v>
      </c>
    </row>
    <row r="476" spans="1:23" x14ac:dyDescent="0.3">
      <c r="A476" t="s">
        <v>533</v>
      </c>
      <c r="B476">
        <v>33</v>
      </c>
      <c r="C476" t="s">
        <v>45</v>
      </c>
      <c r="D476" s="2">
        <v>45211</v>
      </c>
      <c r="E476" s="2">
        <v>45280</v>
      </c>
      <c r="F476">
        <v>10</v>
      </c>
      <c r="G476" t="s">
        <v>50</v>
      </c>
      <c r="H476">
        <v>3</v>
      </c>
      <c r="I476" t="s">
        <v>24</v>
      </c>
      <c r="J476">
        <v>40897</v>
      </c>
      <c r="K476" t="s">
        <v>36</v>
      </c>
      <c r="L476" t="s">
        <v>54</v>
      </c>
      <c r="M476" t="s">
        <v>41</v>
      </c>
      <c r="N476" s="2">
        <v>45211</v>
      </c>
      <c r="O476" s="2">
        <v>45242.458333333336</v>
      </c>
      <c r="P476" t="s">
        <v>28</v>
      </c>
      <c r="Q476" t="s">
        <v>29</v>
      </c>
      <c r="R476" t="s">
        <v>43</v>
      </c>
      <c r="S476">
        <v>9</v>
      </c>
      <c r="T476">
        <v>10</v>
      </c>
      <c r="U476" t="s">
        <v>48</v>
      </c>
      <c r="V476" t="str">
        <f t="shared" si="7"/>
        <v>Oct-2023</v>
      </c>
      <c r="W476" s="16">
        <f>Table1[[#This Row],[Consultation Date]] - Table1[[#This Row],[Appointment Date]]</f>
        <v>31.458333333335759</v>
      </c>
    </row>
    <row r="477" spans="1:23" x14ac:dyDescent="0.3">
      <c r="A477" t="s">
        <v>534</v>
      </c>
      <c r="B477">
        <v>33</v>
      </c>
      <c r="C477" t="s">
        <v>33</v>
      </c>
      <c r="D477" s="2">
        <v>45254</v>
      </c>
      <c r="E477" s="2">
        <v>44969</v>
      </c>
      <c r="F477">
        <v>8</v>
      </c>
      <c r="G477" t="s">
        <v>63</v>
      </c>
      <c r="H477">
        <v>2</v>
      </c>
      <c r="I477" t="s">
        <v>46</v>
      </c>
      <c r="J477">
        <v>37872</v>
      </c>
      <c r="K477" t="s">
        <v>67</v>
      </c>
      <c r="L477" t="s">
        <v>26</v>
      </c>
      <c r="M477" t="s">
        <v>27</v>
      </c>
      <c r="N477" s="2">
        <v>45249</v>
      </c>
      <c r="O477" s="2">
        <v>45249.75</v>
      </c>
      <c r="P477" t="s">
        <v>64</v>
      </c>
      <c r="Q477" t="s">
        <v>38</v>
      </c>
      <c r="R477" t="s">
        <v>47</v>
      </c>
      <c r="S477">
        <v>8</v>
      </c>
      <c r="T477">
        <v>12</v>
      </c>
      <c r="U477" t="s">
        <v>48</v>
      </c>
      <c r="V477" t="str">
        <f t="shared" si="7"/>
        <v>Nov-2023</v>
      </c>
      <c r="W477" s="16">
        <f>Table1[[#This Row],[Consultation Date]] - Table1[[#This Row],[Appointment Date]]</f>
        <v>0.75</v>
      </c>
    </row>
    <row r="478" spans="1:23" x14ac:dyDescent="0.3">
      <c r="A478" t="s">
        <v>535</v>
      </c>
      <c r="B478">
        <v>61</v>
      </c>
      <c r="C478" t="s">
        <v>45</v>
      </c>
      <c r="D478" s="2">
        <v>45009</v>
      </c>
      <c r="E478" s="2">
        <v>45020</v>
      </c>
      <c r="F478">
        <v>11</v>
      </c>
      <c r="G478" t="s">
        <v>63</v>
      </c>
      <c r="H478">
        <v>2</v>
      </c>
      <c r="I478" t="s">
        <v>24</v>
      </c>
      <c r="J478">
        <v>45201</v>
      </c>
      <c r="K478" t="s">
        <v>60</v>
      </c>
      <c r="L478" t="s">
        <v>26</v>
      </c>
      <c r="M478" t="s">
        <v>41</v>
      </c>
      <c r="N478" s="2">
        <v>45005</v>
      </c>
      <c r="O478" s="2">
        <v>45006.625</v>
      </c>
      <c r="P478" t="s">
        <v>37</v>
      </c>
      <c r="Q478" t="s">
        <v>29</v>
      </c>
      <c r="R478" t="s">
        <v>47</v>
      </c>
      <c r="S478">
        <v>10</v>
      </c>
      <c r="T478">
        <v>10</v>
      </c>
      <c r="U478" t="s">
        <v>31</v>
      </c>
      <c r="V478" t="str">
        <f t="shared" si="7"/>
        <v>Mar-2023</v>
      </c>
      <c r="W478" s="16">
        <f>Table1[[#This Row],[Consultation Date]] - Table1[[#This Row],[Appointment Date]]</f>
        <v>1.625</v>
      </c>
    </row>
    <row r="479" spans="1:23" x14ac:dyDescent="0.3">
      <c r="A479" t="s">
        <v>536</v>
      </c>
      <c r="B479">
        <v>51</v>
      </c>
      <c r="C479" t="s">
        <v>45</v>
      </c>
      <c r="D479" s="2">
        <v>45068</v>
      </c>
      <c r="E479" s="2">
        <v>45083</v>
      </c>
      <c r="F479">
        <v>15</v>
      </c>
      <c r="G479" t="s">
        <v>50</v>
      </c>
      <c r="H479">
        <v>1</v>
      </c>
      <c r="I479" t="s">
        <v>46</v>
      </c>
      <c r="J479">
        <v>12689</v>
      </c>
      <c r="K479" t="s">
        <v>25</v>
      </c>
      <c r="L479" t="s">
        <v>54</v>
      </c>
      <c r="M479" t="s">
        <v>41</v>
      </c>
      <c r="N479" s="2">
        <v>45067</v>
      </c>
      <c r="O479" s="2">
        <v>45068.458333333336</v>
      </c>
      <c r="P479" t="s">
        <v>37</v>
      </c>
      <c r="Q479" t="s">
        <v>29</v>
      </c>
      <c r="R479" t="s">
        <v>47</v>
      </c>
      <c r="S479">
        <v>9</v>
      </c>
      <c r="T479">
        <v>8</v>
      </c>
      <c r="U479" t="s">
        <v>31</v>
      </c>
      <c r="V479" t="str">
        <f t="shared" si="7"/>
        <v>May-2023</v>
      </c>
      <c r="W479" s="16">
        <f>Table1[[#This Row],[Consultation Date]] - Table1[[#This Row],[Appointment Date]]</f>
        <v>1.4583333333357587</v>
      </c>
    </row>
    <row r="480" spans="1:23" x14ac:dyDescent="0.3">
      <c r="A480" t="s">
        <v>537</v>
      </c>
      <c r="B480">
        <v>43</v>
      </c>
      <c r="C480" t="s">
        <v>45</v>
      </c>
      <c r="D480" s="2">
        <v>45022</v>
      </c>
      <c r="E480" s="2">
        <v>45096</v>
      </c>
      <c r="F480">
        <v>15</v>
      </c>
      <c r="G480" t="s">
        <v>23</v>
      </c>
      <c r="H480">
        <v>2</v>
      </c>
      <c r="I480" t="s">
        <v>46</v>
      </c>
      <c r="J480">
        <v>8567</v>
      </c>
      <c r="K480" t="s">
        <v>25</v>
      </c>
      <c r="L480" t="s">
        <v>54</v>
      </c>
      <c r="M480" t="s">
        <v>27</v>
      </c>
      <c r="N480" s="2">
        <v>45077</v>
      </c>
      <c r="O480" s="2">
        <v>45077.458333333336</v>
      </c>
      <c r="P480" t="s">
        <v>42</v>
      </c>
      <c r="Q480" t="s">
        <v>29</v>
      </c>
      <c r="R480" t="s">
        <v>47</v>
      </c>
      <c r="S480">
        <v>6</v>
      </c>
      <c r="T480">
        <v>8</v>
      </c>
      <c r="U480" t="s">
        <v>31</v>
      </c>
      <c r="V480" t="str">
        <f t="shared" si="7"/>
        <v>Apr-2023</v>
      </c>
      <c r="W480" s="16">
        <f>Table1[[#This Row],[Consultation Date]] - Table1[[#This Row],[Appointment Date]]</f>
        <v>0.45833333333575865</v>
      </c>
    </row>
    <row r="481" spans="1:23" x14ac:dyDescent="0.3">
      <c r="A481" t="s">
        <v>538</v>
      </c>
      <c r="B481">
        <v>12</v>
      </c>
      <c r="C481" t="s">
        <v>33</v>
      </c>
      <c r="D481" s="2">
        <v>45163</v>
      </c>
      <c r="E481" s="2">
        <v>45025</v>
      </c>
      <c r="F481">
        <v>10</v>
      </c>
      <c r="G481" t="s">
        <v>57</v>
      </c>
      <c r="H481">
        <v>2</v>
      </c>
      <c r="I481" t="s">
        <v>24</v>
      </c>
      <c r="J481">
        <v>25732</v>
      </c>
      <c r="K481" t="s">
        <v>67</v>
      </c>
      <c r="L481" t="s">
        <v>26</v>
      </c>
      <c r="M481" t="s">
        <v>41</v>
      </c>
      <c r="N481" s="2">
        <v>45158</v>
      </c>
      <c r="O481" s="2">
        <v>45158.875</v>
      </c>
      <c r="P481" t="s">
        <v>64</v>
      </c>
      <c r="Q481" t="s">
        <v>29</v>
      </c>
      <c r="R481" t="s">
        <v>43</v>
      </c>
      <c r="S481">
        <v>11</v>
      </c>
      <c r="T481">
        <v>8</v>
      </c>
      <c r="U481" t="s">
        <v>68</v>
      </c>
      <c r="V481" t="str">
        <f t="shared" si="7"/>
        <v>Aug-2023</v>
      </c>
      <c r="W481" s="16">
        <f>Table1[[#This Row],[Consultation Date]] - Table1[[#This Row],[Appointment Date]]</f>
        <v>0.875</v>
      </c>
    </row>
    <row r="482" spans="1:23" x14ac:dyDescent="0.3">
      <c r="A482" t="s">
        <v>539</v>
      </c>
      <c r="B482">
        <v>67</v>
      </c>
      <c r="C482" t="s">
        <v>41</v>
      </c>
      <c r="D482" s="2">
        <v>45319</v>
      </c>
      <c r="E482" s="2">
        <v>45506</v>
      </c>
      <c r="F482">
        <v>11</v>
      </c>
      <c r="G482" t="s">
        <v>50</v>
      </c>
      <c r="H482">
        <v>3</v>
      </c>
      <c r="I482" t="s">
        <v>71</v>
      </c>
      <c r="J482">
        <v>25774</v>
      </c>
      <c r="K482" t="s">
        <v>25</v>
      </c>
      <c r="L482" t="s">
        <v>54</v>
      </c>
      <c r="M482" t="s">
        <v>27</v>
      </c>
      <c r="N482" s="2">
        <v>45314</v>
      </c>
      <c r="O482" s="2">
        <v>45315.916666666664</v>
      </c>
      <c r="P482" t="s">
        <v>55</v>
      </c>
      <c r="Q482" t="s">
        <v>29</v>
      </c>
      <c r="R482" t="s">
        <v>43</v>
      </c>
      <c r="S482">
        <v>4</v>
      </c>
      <c r="T482">
        <v>8</v>
      </c>
      <c r="U482" t="s">
        <v>31</v>
      </c>
      <c r="V482" t="str">
        <f t="shared" si="7"/>
        <v>Jan-2024</v>
      </c>
      <c r="W482" s="16">
        <f>Table1[[#This Row],[Consultation Date]] - Table1[[#This Row],[Appointment Date]]</f>
        <v>1.9166666666642413</v>
      </c>
    </row>
    <row r="483" spans="1:23" x14ac:dyDescent="0.3">
      <c r="A483" t="s">
        <v>540</v>
      </c>
      <c r="B483">
        <v>65</v>
      </c>
      <c r="C483" t="s">
        <v>45</v>
      </c>
      <c r="D483" s="2">
        <v>45083</v>
      </c>
      <c r="E483" s="2">
        <v>45094</v>
      </c>
      <c r="F483">
        <v>11</v>
      </c>
      <c r="G483" t="s">
        <v>40</v>
      </c>
      <c r="H483">
        <v>3</v>
      </c>
      <c r="I483" t="s">
        <v>46</v>
      </c>
      <c r="J483">
        <v>28195</v>
      </c>
      <c r="K483" t="s">
        <v>25</v>
      </c>
      <c r="L483" t="s">
        <v>26</v>
      </c>
      <c r="M483" t="s">
        <v>27</v>
      </c>
      <c r="N483" s="2">
        <v>45083</v>
      </c>
      <c r="O483" s="2">
        <v>45083.791666666664</v>
      </c>
      <c r="P483" t="s">
        <v>64</v>
      </c>
      <c r="Q483" t="s">
        <v>29</v>
      </c>
      <c r="R483" t="s">
        <v>43</v>
      </c>
      <c r="S483">
        <v>8</v>
      </c>
      <c r="T483">
        <v>8</v>
      </c>
      <c r="U483" t="s">
        <v>68</v>
      </c>
      <c r="V483" t="str">
        <f t="shared" si="7"/>
        <v>Jun-2023</v>
      </c>
      <c r="W483" s="16">
        <f>Table1[[#This Row],[Consultation Date]] - Table1[[#This Row],[Appointment Date]]</f>
        <v>0.79166666666424135</v>
      </c>
    </row>
    <row r="484" spans="1:23" x14ac:dyDescent="0.3">
      <c r="A484" t="s">
        <v>541</v>
      </c>
      <c r="B484">
        <v>33</v>
      </c>
      <c r="C484" t="s">
        <v>22</v>
      </c>
      <c r="D484" s="2">
        <v>45146</v>
      </c>
      <c r="E484" s="2">
        <v>45156</v>
      </c>
      <c r="F484">
        <v>10</v>
      </c>
      <c r="G484" t="s">
        <v>34</v>
      </c>
      <c r="H484">
        <v>4</v>
      </c>
      <c r="I484" t="s">
        <v>66</v>
      </c>
      <c r="J484">
        <v>42412</v>
      </c>
      <c r="K484" t="s">
        <v>53</v>
      </c>
      <c r="L484" t="s">
        <v>54</v>
      </c>
      <c r="M484" t="s">
        <v>41</v>
      </c>
      <c r="N484" s="2">
        <v>45115</v>
      </c>
      <c r="O484" s="2">
        <v>45115.791666666664</v>
      </c>
      <c r="P484" t="s">
        <v>42</v>
      </c>
      <c r="Q484" t="s">
        <v>29</v>
      </c>
      <c r="R484" t="s">
        <v>47</v>
      </c>
      <c r="S484">
        <v>10</v>
      </c>
      <c r="T484">
        <v>8</v>
      </c>
      <c r="U484" t="s">
        <v>31</v>
      </c>
      <c r="V484" t="str">
        <f t="shared" si="7"/>
        <v>Aug-2023</v>
      </c>
      <c r="W484" s="16">
        <f>Table1[[#This Row],[Consultation Date]] - Table1[[#This Row],[Appointment Date]]</f>
        <v>0.79166666666424135</v>
      </c>
    </row>
    <row r="485" spans="1:23" x14ac:dyDescent="0.3">
      <c r="A485" t="s">
        <v>542</v>
      </c>
      <c r="B485">
        <v>40</v>
      </c>
      <c r="C485" t="s">
        <v>33</v>
      </c>
      <c r="D485" s="2">
        <v>45110</v>
      </c>
      <c r="E485" s="2">
        <v>44998</v>
      </c>
      <c r="F485">
        <v>6</v>
      </c>
      <c r="G485" t="s">
        <v>57</v>
      </c>
      <c r="H485">
        <v>1</v>
      </c>
      <c r="I485" t="s">
        <v>71</v>
      </c>
      <c r="J485">
        <v>49098</v>
      </c>
      <c r="K485" t="s">
        <v>60</v>
      </c>
      <c r="L485" t="s">
        <v>54</v>
      </c>
      <c r="M485" t="s">
        <v>27</v>
      </c>
      <c r="N485" s="2">
        <v>45019</v>
      </c>
      <c r="O485" s="2">
        <v>45049.541666666664</v>
      </c>
      <c r="P485" t="s">
        <v>55</v>
      </c>
      <c r="Q485" t="s">
        <v>29</v>
      </c>
      <c r="R485" t="s">
        <v>43</v>
      </c>
      <c r="S485">
        <v>7</v>
      </c>
      <c r="T485">
        <v>10</v>
      </c>
      <c r="U485" t="s">
        <v>68</v>
      </c>
      <c r="V485" t="str">
        <f t="shared" si="7"/>
        <v>Jul-2023</v>
      </c>
      <c r="W485" s="16">
        <f>Table1[[#This Row],[Consultation Date]] - Table1[[#This Row],[Appointment Date]]</f>
        <v>30.541666666664241</v>
      </c>
    </row>
    <row r="486" spans="1:23" x14ac:dyDescent="0.3">
      <c r="A486" t="s">
        <v>543</v>
      </c>
      <c r="B486">
        <v>74</v>
      </c>
      <c r="C486" t="s">
        <v>45</v>
      </c>
      <c r="D486" s="2">
        <v>45351</v>
      </c>
      <c r="E486" s="2">
        <v>45365</v>
      </c>
      <c r="F486">
        <v>14</v>
      </c>
      <c r="G486" t="s">
        <v>40</v>
      </c>
      <c r="H486">
        <v>2</v>
      </c>
      <c r="I486" t="s">
        <v>24</v>
      </c>
      <c r="J486">
        <v>27257</v>
      </c>
      <c r="K486" t="s">
        <v>60</v>
      </c>
      <c r="L486" t="s">
        <v>54</v>
      </c>
      <c r="M486" t="s">
        <v>41</v>
      </c>
      <c r="N486" s="2">
        <v>45350</v>
      </c>
      <c r="O486" s="2">
        <v>45350.75</v>
      </c>
      <c r="P486" t="s">
        <v>55</v>
      </c>
      <c r="Q486" t="s">
        <v>38</v>
      </c>
      <c r="R486" t="s">
        <v>30</v>
      </c>
      <c r="S486">
        <v>11</v>
      </c>
      <c r="T486">
        <v>8</v>
      </c>
      <c r="U486" t="s">
        <v>31</v>
      </c>
      <c r="V486" t="str">
        <f t="shared" si="7"/>
        <v>Feb-2024</v>
      </c>
      <c r="W486" s="16">
        <f>Table1[[#This Row],[Consultation Date]] - Table1[[#This Row],[Appointment Date]]</f>
        <v>0.75</v>
      </c>
    </row>
    <row r="487" spans="1:23" x14ac:dyDescent="0.3">
      <c r="A487" t="s">
        <v>544</v>
      </c>
      <c r="B487">
        <v>43</v>
      </c>
      <c r="C487" t="s">
        <v>41</v>
      </c>
      <c r="D487" s="2">
        <v>45344</v>
      </c>
      <c r="E487" s="2">
        <v>45385</v>
      </c>
      <c r="F487">
        <v>11</v>
      </c>
      <c r="G487" t="s">
        <v>57</v>
      </c>
      <c r="H487">
        <v>1</v>
      </c>
      <c r="I487" t="s">
        <v>71</v>
      </c>
      <c r="J487">
        <v>9394</v>
      </c>
      <c r="K487" t="s">
        <v>53</v>
      </c>
      <c r="L487" t="s">
        <v>54</v>
      </c>
      <c r="M487" t="s">
        <v>27</v>
      </c>
      <c r="N487" s="2">
        <v>45344</v>
      </c>
      <c r="O487" s="2">
        <v>45345.375</v>
      </c>
      <c r="P487" t="s">
        <v>37</v>
      </c>
      <c r="Q487" t="s">
        <v>29</v>
      </c>
      <c r="R487" t="s">
        <v>43</v>
      </c>
      <c r="S487">
        <v>9</v>
      </c>
      <c r="T487">
        <v>8</v>
      </c>
      <c r="U487" t="s">
        <v>31</v>
      </c>
      <c r="V487" t="str">
        <f t="shared" si="7"/>
        <v>Feb-2024</v>
      </c>
      <c r="W487" s="16">
        <f>Table1[[#This Row],[Consultation Date]] - Table1[[#This Row],[Appointment Date]]</f>
        <v>1.375</v>
      </c>
    </row>
    <row r="488" spans="1:23" x14ac:dyDescent="0.3">
      <c r="A488" t="s">
        <v>545</v>
      </c>
      <c r="B488">
        <v>44</v>
      </c>
      <c r="C488" t="s">
        <v>33</v>
      </c>
      <c r="D488" s="2">
        <v>45058</v>
      </c>
      <c r="E488" s="2">
        <v>45242</v>
      </c>
      <c r="F488">
        <v>6</v>
      </c>
      <c r="G488" t="s">
        <v>40</v>
      </c>
      <c r="H488">
        <v>5</v>
      </c>
      <c r="I488" t="s">
        <v>35</v>
      </c>
      <c r="J488">
        <v>41302</v>
      </c>
      <c r="K488" t="s">
        <v>53</v>
      </c>
      <c r="L488" t="s">
        <v>54</v>
      </c>
      <c r="M488" t="s">
        <v>41</v>
      </c>
      <c r="N488" s="2">
        <v>44969</v>
      </c>
      <c r="O488" s="2">
        <v>44997.833333333336</v>
      </c>
      <c r="P488" t="s">
        <v>64</v>
      </c>
      <c r="Q488" t="s">
        <v>29</v>
      </c>
      <c r="R488" t="s">
        <v>47</v>
      </c>
      <c r="S488">
        <v>8</v>
      </c>
      <c r="T488">
        <v>8</v>
      </c>
      <c r="U488" t="s">
        <v>31</v>
      </c>
      <c r="V488" t="str">
        <f t="shared" si="7"/>
        <v>May-2023</v>
      </c>
      <c r="W488" s="16">
        <f>Table1[[#This Row],[Consultation Date]] - Table1[[#This Row],[Appointment Date]]</f>
        <v>28.833333333335759</v>
      </c>
    </row>
    <row r="489" spans="1:23" x14ac:dyDescent="0.3">
      <c r="A489" t="s">
        <v>546</v>
      </c>
      <c r="B489">
        <v>29</v>
      </c>
      <c r="C489" t="s">
        <v>62</v>
      </c>
      <c r="D489" s="2">
        <v>45404</v>
      </c>
      <c r="E489" s="2">
        <v>45407</v>
      </c>
      <c r="F489">
        <v>3</v>
      </c>
      <c r="G489" t="s">
        <v>34</v>
      </c>
      <c r="H489">
        <v>2</v>
      </c>
      <c r="I489" t="s">
        <v>35</v>
      </c>
      <c r="J489">
        <v>27228</v>
      </c>
      <c r="K489" t="s">
        <v>25</v>
      </c>
      <c r="L489" t="s">
        <v>26</v>
      </c>
      <c r="M489" t="s">
        <v>27</v>
      </c>
      <c r="N489" s="2">
        <v>45401</v>
      </c>
      <c r="O489" s="2">
        <v>45401.291666666664</v>
      </c>
      <c r="P489" t="s">
        <v>55</v>
      </c>
      <c r="Q489" t="s">
        <v>29</v>
      </c>
      <c r="R489" t="s">
        <v>30</v>
      </c>
      <c r="S489">
        <v>7</v>
      </c>
      <c r="T489">
        <v>8</v>
      </c>
      <c r="U489" t="s">
        <v>48</v>
      </c>
      <c r="V489" t="str">
        <f t="shared" si="7"/>
        <v>Apr-2024</v>
      </c>
      <c r="W489" s="16">
        <f>Table1[[#This Row],[Consultation Date]] - Table1[[#This Row],[Appointment Date]]</f>
        <v>0.29166666666424135</v>
      </c>
    </row>
    <row r="490" spans="1:23" x14ac:dyDescent="0.3">
      <c r="A490" t="s">
        <v>547</v>
      </c>
      <c r="B490">
        <v>13</v>
      </c>
      <c r="C490" t="s">
        <v>41</v>
      </c>
      <c r="D490" s="2">
        <v>45294</v>
      </c>
      <c r="E490" s="2">
        <v>45538</v>
      </c>
      <c r="F490">
        <v>8</v>
      </c>
      <c r="G490" t="s">
        <v>34</v>
      </c>
      <c r="H490">
        <v>1</v>
      </c>
      <c r="I490" t="s">
        <v>46</v>
      </c>
      <c r="J490">
        <v>17388</v>
      </c>
      <c r="K490" t="s">
        <v>36</v>
      </c>
      <c r="L490" t="s">
        <v>54</v>
      </c>
      <c r="M490" t="s">
        <v>41</v>
      </c>
      <c r="N490" s="2">
        <v>45351</v>
      </c>
      <c r="O490" s="2">
        <v>45351.375</v>
      </c>
      <c r="P490" t="s">
        <v>42</v>
      </c>
      <c r="Q490" t="s">
        <v>29</v>
      </c>
      <c r="R490" t="s">
        <v>47</v>
      </c>
      <c r="S490">
        <v>7</v>
      </c>
      <c r="T490">
        <v>10</v>
      </c>
      <c r="U490" t="s">
        <v>48</v>
      </c>
      <c r="V490" t="str">
        <f t="shared" si="7"/>
        <v>Jan-2024</v>
      </c>
      <c r="W490" s="16">
        <f>Table1[[#This Row],[Consultation Date]] - Table1[[#This Row],[Appointment Date]]</f>
        <v>0.375</v>
      </c>
    </row>
    <row r="491" spans="1:23" x14ac:dyDescent="0.3">
      <c r="A491" t="s">
        <v>548</v>
      </c>
      <c r="B491">
        <v>12</v>
      </c>
      <c r="C491" t="s">
        <v>22</v>
      </c>
      <c r="D491" s="2">
        <v>45049</v>
      </c>
      <c r="E491" s="2">
        <v>45110</v>
      </c>
      <c r="F491">
        <v>2</v>
      </c>
      <c r="G491" t="s">
        <v>63</v>
      </c>
      <c r="H491">
        <v>4</v>
      </c>
      <c r="I491" t="s">
        <v>46</v>
      </c>
      <c r="J491">
        <v>16319</v>
      </c>
      <c r="K491" t="s">
        <v>25</v>
      </c>
      <c r="L491" t="s">
        <v>54</v>
      </c>
      <c r="M491" t="s">
        <v>27</v>
      </c>
      <c r="N491" s="2">
        <v>44985</v>
      </c>
      <c r="O491" s="2">
        <v>44929.125</v>
      </c>
      <c r="P491" t="s">
        <v>37</v>
      </c>
      <c r="Q491" t="s">
        <v>29</v>
      </c>
      <c r="R491" t="s">
        <v>30</v>
      </c>
      <c r="S491">
        <v>5</v>
      </c>
      <c r="T491">
        <v>12</v>
      </c>
      <c r="U491" t="s">
        <v>31</v>
      </c>
      <c r="V491" t="str">
        <f t="shared" si="7"/>
        <v>May-2023</v>
      </c>
      <c r="W491" s="16">
        <f>Table1[[#This Row],[Consultation Date]] - Table1[[#This Row],[Appointment Date]]</f>
        <v>-55.875</v>
      </c>
    </row>
    <row r="492" spans="1:23" x14ac:dyDescent="0.3">
      <c r="A492" t="s">
        <v>549</v>
      </c>
      <c r="B492">
        <v>46</v>
      </c>
      <c r="C492" t="s">
        <v>45</v>
      </c>
      <c r="D492" s="2">
        <v>45138</v>
      </c>
      <c r="E492" s="2">
        <v>45146</v>
      </c>
      <c r="F492">
        <v>8</v>
      </c>
      <c r="G492" t="s">
        <v>23</v>
      </c>
      <c r="H492">
        <v>4</v>
      </c>
      <c r="I492" t="s">
        <v>66</v>
      </c>
      <c r="J492">
        <v>11475</v>
      </c>
      <c r="K492" t="s">
        <v>53</v>
      </c>
      <c r="L492" t="s">
        <v>54</v>
      </c>
      <c r="M492" t="s">
        <v>27</v>
      </c>
      <c r="N492" s="2">
        <v>45136</v>
      </c>
      <c r="O492" s="2">
        <v>45136.166666666664</v>
      </c>
      <c r="P492" t="s">
        <v>55</v>
      </c>
      <c r="Q492" t="s">
        <v>38</v>
      </c>
      <c r="R492" t="s">
        <v>47</v>
      </c>
      <c r="S492">
        <v>5</v>
      </c>
      <c r="T492">
        <v>12</v>
      </c>
      <c r="U492" t="s">
        <v>68</v>
      </c>
      <c r="V492" t="str">
        <f t="shared" si="7"/>
        <v>Jul-2023</v>
      </c>
      <c r="W492" s="16">
        <f>Table1[[#This Row],[Consultation Date]] - Table1[[#This Row],[Appointment Date]]</f>
        <v>0.16666666666424135</v>
      </c>
    </row>
    <row r="493" spans="1:23" x14ac:dyDescent="0.3">
      <c r="A493" t="s">
        <v>550</v>
      </c>
      <c r="B493">
        <v>2</v>
      </c>
      <c r="C493" t="s">
        <v>62</v>
      </c>
      <c r="D493" s="2">
        <v>45446</v>
      </c>
      <c r="E493" s="2">
        <v>45365</v>
      </c>
      <c r="F493">
        <v>8</v>
      </c>
      <c r="G493" t="s">
        <v>40</v>
      </c>
      <c r="H493">
        <v>2</v>
      </c>
      <c r="I493" t="s">
        <v>71</v>
      </c>
      <c r="J493">
        <v>36555</v>
      </c>
      <c r="K493" t="s">
        <v>60</v>
      </c>
      <c r="L493" t="s">
        <v>54</v>
      </c>
      <c r="M493" t="s">
        <v>27</v>
      </c>
      <c r="N493" s="2">
        <v>45446</v>
      </c>
      <c r="O493" s="2">
        <v>45446.75</v>
      </c>
      <c r="P493" t="s">
        <v>64</v>
      </c>
      <c r="Q493" t="s">
        <v>29</v>
      </c>
      <c r="R493" t="s">
        <v>47</v>
      </c>
      <c r="S493">
        <v>10</v>
      </c>
      <c r="T493">
        <v>12</v>
      </c>
      <c r="U493" t="s">
        <v>68</v>
      </c>
      <c r="V493" t="str">
        <f t="shared" si="7"/>
        <v>Jun-2024</v>
      </c>
      <c r="W493" s="16">
        <f>Table1[[#This Row],[Consultation Date]] - Table1[[#This Row],[Appointment Date]]</f>
        <v>0.75</v>
      </c>
    </row>
    <row r="494" spans="1:23" x14ac:dyDescent="0.3">
      <c r="A494" t="s">
        <v>551</v>
      </c>
      <c r="B494">
        <v>35</v>
      </c>
      <c r="C494" t="s">
        <v>62</v>
      </c>
      <c r="D494" s="2">
        <v>45353</v>
      </c>
      <c r="E494" s="2">
        <v>45336</v>
      </c>
      <c r="F494">
        <v>11</v>
      </c>
      <c r="G494" t="s">
        <v>63</v>
      </c>
      <c r="H494">
        <v>5</v>
      </c>
      <c r="I494" t="s">
        <v>35</v>
      </c>
      <c r="J494">
        <v>23158</v>
      </c>
      <c r="K494" t="s">
        <v>25</v>
      </c>
      <c r="L494" t="s">
        <v>26</v>
      </c>
      <c r="M494" t="s">
        <v>27</v>
      </c>
      <c r="N494" s="2">
        <v>45353</v>
      </c>
      <c r="O494" s="2">
        <v>45384.75</v>
      </c>
      <c r="P494" t="s">
        <v>37</v>
      </c>
      <c r="Q494" t="s">
        <v>29</v>
      </c>
      <c r="R494" t="s">
        <v>30</v>
      </c>
      <c r="S494">
        <v>8</v>
      </c>
      <c r="T494">
        <v>12</v>
      </c>
      <c r="U494" t="s">
        <v>31</v>
      </c>
      <c r="V494" t="str">
        <f t="shared" si="7"/>
        <v>Mar-2024</v>
      </c>
      <c r="W494" s="16">
        <f>Table1[[#This Row],[Consultation Date]] - Table1[[#This Row],[Appointment Date]]</f>
        <v>31.75</v>
      </c>
    </row>
    <row r="495" spans="1:23" x14ac:dyDescent="0.3">
      <c r="A495" t="s">
        <v>552</v>
      </c>
      <c r="B495">
        <v>87</v>
      </c>
      <c r="C495" t="s">
        <v>33</v>
      </c>
      <c r="D495" s="2">
        <v>44947</v>
      </c>
      <c r="E495" s="2">
        <v>44952</v>
      </c>
      <c r="F495">
        <v>5</v>
      </c>
      <c r="G495" t="s">
        <v>40</v>
      </c>
      <c r="H495">
        <v>4</v>
      </c>
      <c r="I495" t="s">
        <v>46</v>
      </c>
      <c r="J495">
        <v>19728</v>
      </c>
      <c r="K495" t="s">
        <v>36</v>
      </c>
      <c r="L495" t="s">
        <v>54</v>
      </c>
      <c r="M495" t="s">
        <v>27</v>
      </c>
      <c r="N495" s="2">
        <v>44945</v>
      </c>
      <c r="O495" s="2">
        <v>44945.375</v>
      </c>
      <c r="P495" t="s">
        <v>64</v>
      </c>
      <c r="Q495" t="s">
        <v>29</v>
      </c>
      <c r="R495" t="s">
        <v>43</v>
      </c>
      <c r="S495">
        <v>11</v>
      </c>
      <c r="T495">
        <v>8</v>
      </c>
      <c r="U495" t="s">
        <v>48</v>
      </c>
      <c r="V495" t="str">
        <f t="shared" si="7"/>
        <v>Jan-2023</v>
      </c>
      <c r="W495" s="16">
        <f>Table1[[#This Row],[Consultation Date]] - Table1[[#This Row],[Appointment Date]]</f>
        <v>0.375</v>
      </c>
    </row>
    <row r="496" spans="1:23" x14ac:dyDescent="0.3">
      <c r="A496" t="s">
        <v>553</v>
      </c>
      <c r="B496">
        <v>81</v>
      </c>
      <c r="C496" t="s">
        <v>62</v>
      </c>
      <c r="D496" s="2">
        <v>45316</v>
      </c>
      <c r="E496" s="2">
        <v>45475</v>
      </c>
      <c r="F496">
        <v>13</v>
      </c>
      <c r="G496" t="s">
        <v>63</v>
      </c>
      <c r="H496">
        <v>4</v>
      </c>
      <c r="I496" t="s">
        <v>71</v>
      </c>
      <c r="J496">
        <v>49774</v>
      </c>
      <c r="K496" t="s">
        <v>25</v>
      </c>
      <c r="L496" t="s">
        <v>26</v>
      </c>
      <c r="M496" t="s">
        <v>27</v>
      </c>
      <c r="N496" s="2">
        <v>45312</v>
      </c>
      <c r="O496" s="2">
        <v>45313.875</v>
      </c>
      <c r="P496" t="s">
        <v>64</v>
      </c>
      <c r="Q496" t="s">
        <v>29</v>
      </c>
      <c r="R496" t="s">
        <v>30</v>
      </c>
      <c r="S496">
        <v>10</v>
      </c>
      <c r="T496">
        <v>12</v>
      </c>
      <c r="U496" t="s">
        <v>68</v>
      </c>
      <c r="V496" t="str">
        <f t="shared" si="7"/>
        <v>Jan-2024</v>
      </c>
      <c r="W496" s="16">
        <f>Table1[[#This Row],[Consultation Date]] - Table1[[#This Row],[Appointment Date]]</f>
        <v>1.875</v>
      </c>
    </row>
    <row r="497" spans="1:23" x14ac:dyDescent="0.3">
      <c r="A497" t="s">
        <v>554</v>
      </c>
      <c r="B497">
        <v>8</v>
      </c>
      <c r="C497" t="s">
        <v>22</v>
      </c>
      <c r="D497" s="2">
        <v>45356</v>
      </c>
      <c r="E497" s="2">
        <v>45509</v>
      </c>
      <c r="F497">
        <v>5</v>
      </c>
      <c r="G497" t="s">
        <v>34</v>
      </c>
      <c r="H497">
        <v>5</v>
      </c>
      <c r="I497" t="s">
        <v>46</v>
      </c>
      <c r="J497">
        <v>34545</v>
      </c>
      <c r="K497" t="s">
        <v>67</v>
      </c>
      <c r="L497" t="s">
        <v>54</v>
      </c>
      <c r="M497" t="s">
        <v>41</v>
      </c>
      <c r="N497" s="2">
        <v>45411</v>
      </c>
      <c r="O497" s="2">
        <v>45411.375</v>
      </c>
      <c r="P497" t="s">
        <v>64</v>
      </c>
      <c r="Q497" t="s">
        <v>29</v>
      </c>
      <c r="R497" t="s">
        <v>30</v>
      </c>
      <c r="S497">
        <v>8</v>
      </c>
      <c r="T497">
        <v>12</v>
      </c>
      <c r="U497" t="s">
        <v>48</v>
      </c>
      <c r="V497" t="str">
        <f t="shared" si="7"/>
        <v>Mar-2024</v>
      </c>
      <c r="W497" s="16">
        <f>Table1[[#This Row],[Consultation Date]] - Table1[[#This Row],[Appointment Date]]</f>
        <v>0.375</v>
      </c>
    </row>
    <row r="498" spans="1:23" x14ac:dyDescent="0.3">
      <c r="A498" t="s">
        <v>555</v>
      </c>
      <c r="B498">
        <v>26</v>
      </c>
      <c r="C498" t="s">
        <v>22</v>
      </c>
      <c r="D498" s="2">
        <v>45108</v>
      </c>
      <c r="E498" s="2">
        <v>44943</v>
      </c>
      <c r="F498">
        <v>10</v>
      </c>
      <c r="G498" t="s">
        <v>57</v>
      </c>
      <c r="H498">
        <v>1</v>
      </c>
      <c r="I498" t="s">
        <v>46</v>
      </c>
      <c r="J498">
        <v>36100</v>
      </c>
      <c r="K498" t="s">
        <v>25</v>
      </c>
      <c r="L498" t="s">
        <v>54</v>
      </c>
      <c r="M498" t="s">
        <v>41</v>
      </c>
      <c r="N498" s="2">
        <v>45108</v>
      </c>
      <c r="O498" s="2">
        <v>45108.666666666664</v>
      </c>
      <c r="P498" t="s">
        <v>37</v>
      </c>
      <c r="Q498" t="s">
        <v>29</v>
      </c>
      <c r="R498" t="s">
        <v>30</v>
      </c>
      <c r="S498">
        <v>6</v>
      </c>
      <c r="T498">
        <v>10</v>
      </c>
      <c r="U498" t="s">
        <v>68</v>
      </c>
      <c r="V498" t="str">
        <f t="shared" si="7"/>
        <v>Jul-2023</v>
      </c>
      <c r="W498" s="16">
        <f>Table1[[#This Row],[Consultation Date]] - Table1[[#This Row],[Appointment Date]]</f>
        <v>0.66666666666424135</v>
      </c>
    </row>
    <row r="499" spans="1:23" x14ac:dyDescent="0.3">
      <c r="A499" t="s">
        <v>556</v>
      </c>
      <c r="B499">
        <v>74</v>
      </c>
      <c r="C499" t="s">
        <v>52</v>
      </c>
      <c r="D499" s="2">
        <v>45287</v>
      </c>
      <c r="E499" s="2">
        <v>45288</v>
      </c>
      <c r="F499">
        <v>1</v>
      </c>
      <c r="G499" t="s">
        <v>63</v>
      </c>
      <c r="H499">
        <v>4</v>
      </c>
      <c r="I499" t="s">
        <v>35</v>
      </c>
      <c r="J499">
        <v>21150</v>
      </c>
      <c r="K499" t="s">
        <v>53</v>
      </c>
      <c r="L499" t="s">
        <v>54</v>
      </c>
      <c r="M499" t="s">
        <v>41</v>
      </c>
      <c r="N499" s="2">
        <v>45285</v>
      </c>
      <c r="O499" s="2">
        <v>45285.416666666664</v>
      </c>
      <c r="P499" t="s">
        <v>55</v>
      </c>
      <c r="Q499" t="s">
        <v>29</v>
      </c>
      <c r="R499" t="s">
        <v>30</v>
      </c>
      <c r="S499">
        <v>4</v>
      </c>
      <c r="T499">
        <v>10</v>
      </c>
      <c r="U499" t="s">
        <v>31</v>
      </c>
      <c r="V499" t="str">
        <f t="shared" si="7"/>
        <v>Dec-2023</v>
      </c>
      <c r="W499" s="16">
        <f>Table1[[#This Row],[Consultation Date]] - Table1[[#This Row],[Appointment Date]]</f>
        <v>0.41666666666424135</v>
      </c>
    </row>
    <row r="500" spans="1:23" x14ac:dyDescent="0.3">
      <c r="A500" t="s">
        <v>557</v>
      </c>
      <c r="B500">
        <v>34</v>
      </c>
      <c r="C500" t="s">
        <v>22</v>
      </c>
      <c r="D500" s="2">
        <v>44968</v>
      </c>
      <c r="E500" s="2">
        <v>45149</v>
      </c>
      <c r="F500">
        <v>6</v>
      </c>
      <c r="G500" t="s">
        <v>40</v>
      </c>
      <c r="H500">
        <v>3</v>
      </c>
      <c r="I500" t="s">
        <v>35</v>
      </c>
      <c r="J500">
        <v>38214</v>
      </c>
      <c r="K500" t="s">
        <v>60</v>
      </c>
      <c r="L500" t="s">
        <v>54</v>
      </c>
      <c r="M500" t="s">
        <v>27</v>
      </c>
      <c r="N500" s="2">
        <v>45230</v>
      </c>
      <c r="O500" s="2">
        <v>44937.916666666664</v>
      </c>
      <c r="P500" t="s">
        <v>28</v>
      </c>
      <c r="Q500" t="s">
        <v>29</v>
      </c>
      <c r="R500" t="s">
        <v>30</v>
      </c>
      <c r="S500">
        <v>4</v>
      </c>
      <c r="T500">
        <v>10</v>
      </c>
      <c r="U500" t="s">
        <v>48</v>
      </c>
      <c r="V500" t="str">
        <f t="shared" si="7"/>
        <v>Feb-2023</v>
      </c>
      <c r="W500" s="16">
        <f>Table1[[#This Row],[Consultation Date]] - Table1[[#This Row],[Appointment Date]]</f>
        <v>-292.08333333333576</v>
      </c>
    </row>
    <row r="501" spans="1:23" x14ac:dyDescent="0.3">
      <c r="A501" t="s">
        <v>558</v>
      </c>
      <c r="B501">
        <v>7</v>
      </c>
      <c r="C501" t="s">
        <v>41</v>
      </c>
      <c r="D501" s="2">
        <v>45384</v>
      </c>
      <c r="E501" s="2">
        <v>45335</v>
      </c>
      <c r="F501">
        <v>9</v>
      </c>
      <c r="G501" t="s">
        <v>40</v>
      </c>
      <c r="H501">
        <v>4</v>
      </c>
      <c r="I501" t="s">
        <v>46</v>
      </c>
      <c r="J501">
        <v>37876</v>
      </c>
      <c r="K501" t="s">
        <v>60</v>
      </c>
      <c r="L501" t="s">
        <v>26</v>
      </c>
      <c r="M501" t="s">
        <v>27</v>
      </c>
      <c r="N501" s="2">
        <v>45293</v>
      </c>
      <c r="O501" s="2">
        <v>45293.875</v>
      </c>
      <c r="P501" t="s">
        <v>55</v>
      </c>
      <c r="Q501" t="s">
        <v>29</v>
      </c>
      <c r="R501" t="s">
        <v>47</v>
      </c>
      <c r="S501">
        <v>11</v>
      </c>
      <c r="T501">
        <v>8</v>
      </c>
      <c r="U501" t="s">
        <v>68</v>
      </c>
      <c r="V501" t="str">
        <f t="shared" si="7"/>
        <v>Apr-2024</v>
      </c>
      <c r="W501" s="16">
        <f>Table1[[#This Row],[Consultation Date]] - Table1[[#This Row],[Appointment Date]]</f>
        <v>0.875</v>
      </c>
    </row>
    <row r="502" spans="1:23" x14ac:dyDescent="0.3">
      <c r="A502" t="s">
        <v>559</v>
      </c>
      <c r="B502">
        <v>68</v>
      </c>
      <c r="C502" t="s">
        <v>62</v>
      </c>
      <c r="D502" s="2">
        <v>45415</v>
      </c>
      <c r="E502" s="2">
        <v>45476</v>
      </c>
      <c r="F502">
        <v>2</v>
      </c>
      <c r="G502" t="s">
        <v>23</v>
      </c>
      <c r="H502">
        <v>1</v>
      </c>
      <c r="I502" t="s">
        <v>24</v>
      </c>
      <c r="J502">
        <v>8239</v>
      </c>
      <c r="K502" t="s">
        <v>53</v>
      </c>
      <c r="L502" t="s">
        <v>54</v>
      </c>
      <c r="M502" t="s">
        <v>27</v>
      </c>
      <c r="N502" s="2">
        <v>45351</v>
      </c>
      <c r="O502" s="2">
        <v>45351.666666666664</v>
      </c>
      <c r="P502" t="s">
        <v>37</v>
      </c>
      <c r="Q502" t="s">
        <v>29</v>
      </c>
      <c r="R502" t="s">
        <v>47</v>
      </c>
      <c r="S502">
        <v>8</v>
      </c>
      <c r="T502">
        <v>8</v>
      </c>
      <c r="U502" t="s">
        <v>31</v>
      </c>
      <c r="V502" t="str">
        <f t="shared" si="7"/>
        <v>May-2024</v>
      </c>
      <c r="W502" s="16">
        <f>Table1[[#This Row],[Consultation Date]] - Table1[[#This Row],[Appointment Date]]</f>
        <v>0.66666666666424135</v>
      </c>
    </row>
    <row r="503" spans="1:23" x14ac:dyDescent="0.3">
      <c r="A503" t="s">
        <v>560</v>
      </c>
      <c r="B503">
        <v>58</v>
      </c>
      <c r="C503" t="s">
        <v>22</v>
      </c>
      <c r="D503" s="2">
        <v>45152</v>
      </c>
      <c r="E503" s="2">
        <v>45157</v>
      </c>
      <c r="F503">
        <v>5</v>
      </c>
      <c r="G503" t="s">
        <v>34</v>
      </c>
      <c r="H503">
        <v>1</v>
      </c>
      <c r="I503" t="s">
        <v>46</v>
      </c>
      <c r="J503">
        <v>43699</v>
      </c>
      <c r="K503" t="s">
        <v>67</v>
      </c>
      <c r="L503" t="s">
        <v>26</v>
      </c>
      <c r="M503" t="s">
        <v>41</v>
      </c>
      <c r="N503" s="2">
        <v>45207</v>
      </c>
      <c r="O503" s="2">
        <v>45238.833333333336</v>
      </c>
      <c r="P503" t="s">
        <v>28</v>
      </c>
      <c r="Q503" t="s">
        <v>29</v>
      </c>
      <c r="R503" t="s">
        <v>43</v>
      </c>
      <c r="S503">
        <v>5</v>
      </c>
      <c r="T503">
        <v>8</v>
      </c>
      <c r="U503" t="s">
        <v>31</v>
      </c>
      <c r="V503" t="str">
        <f t="shared" si="7"/>
        <v>Aug-2023</v>
      </c>
      <c r="W503" s="16">
        <f>Table1[[#This Row],[Consultation Date]] - Table1[[#This Row],[Appointment Date]]</f>
        <v>31.833333333335759</v>
      </c>
    </row>
    <row r="504" spans="1:23" x14ac:dyDescent="0.3">
      <c r="A504" t="s">
        <v>561</v>
      </c>
      <c r="B504">
        <v>75</v>
      </c>
      <c r="C504" t="s">
        <v>33</v>
      </c>
      <c r="D504" s="2">
        <v>45426</v>
      </c>
      <c r="E504" s="2">
        <v>45434</v>
      </c>
      <c r="F504">
        <v>8</v>
      </c>
      <c r="G504" t="s">
        <v>40</v>
      </c>
      <c r="H504">
        <v>2</v>
      </c>
      <c r="I504" t="s">
        <v>46</v>
      </c>
      <c r="J504">
        <v>41821</v>
      </c>
      <c r="K504" t="s">
        <v>53</v>
      </c>
      <c r="L504" t="s">
        <v>54</v>
      </c>
      <c r="M504" t="s">
        <v>27</v>
      </c>
      <c r="N504" s="2">
        <v>45570</v>
      </c>
      <c r="O504" s="2">
        <v>45601.083333333336</v>
      </c>
      <c r="P504" t="s">
        <v>28</v>
      </c>
      <c r="Q504" t="s">
        <v>29</v>
      </c>
      <c r="R504" t="s">
        <v>43</v>
      </c>
      <c r="S504">
        <v>11</v>
      </c>
      <c r="T504">
        <v>10</v>
      </c>
      <c r="U504" t="s">
        <v>31</v>
      </c>
      <c r="V504" t="str">
        <f t="shared" si="7"/>
        <v>May-2024</v>
      </c>
      <c r="W504" s="16">
        <f>Table1[[#This Row],[Consultation Date]] - Table1[[#This Row],[Appointment Date]]</f>
        <v>31.083333333335759</v>
      </c>
    </row>
    <row r="505" spans="1:23" x14ac:dyDescent="0.3">
      <c r="A505" t="s">
        <v>562</v>
      </c>
      <c r="B505">
        <v>29</v>
      </c>
      <c r="C505" t="s">
        <v>52</v>
      </c>
      <c r="D505" s="2">
        <v>45151</v>
      </c>
      <c r="E505" s="2">
        <v>45159</v>
      </c>
      <c r="F505">
        <v>8</v>
      </c>
      <c r="G505" t="s">
        <v>50</v>
      </c>
      <c r="H505">
        <v>3</v>
      </c>
      <c r="I505" t="s">
        <v>66</v>
      </c>
      <c r="J505">
        <v>35615</v>
      </c>
      <c r="K505" t="s">
        <v>25</v>
      </c>
      <c r="L505" t="s">
        <v>26</v>
      </c>
      <c r="M505" t="s">
        <v>41</v>
      </c>
      <c r="N505" s="2">
        <v>45207</v>
      </c>
      <c r="O505" s="2">
        <v>45238.333333333336</v>
      </c>
      <c r="P505" t="s">
        <v>28</v>
      </c>
      <c r="Q505" t="s">
        <v>38</v>
      </c>
      <c r="R505" t="s">
        <v>30</v>
      </c>
      <c r="S505">
        <v>9</v>
      </c>
      <c r="T505">
        <v>12</v>
      </c>
      <c r="U505" t="s">
        <v>48</v>
      </c>
      <c r="V505" t="str">
        <f t="shared" si="7"/>
        <v>Aug-2023</v>
      </c>
      <c r="W505" s="16">
        <f>Table1[[#This Row],[Consultation Date]] - Table1[[#This Row],[Appointment Date]]</f>
        <v>31.333333333335759</v>
      </c>
    </row>
    <row r="506" spans="1:23" x14ac:dyDescent="0.3">
      <c r="A506" t="s">
        <v>563</v>
      </c>
      <c r="B506">
        <v>36</v>
      </c>
      <c r="C506" t="s">
        <v>62</v>
      </c>
      <c r="D506" s="2">
        <v>45117</v>
      </c>
      <c r="E506" s="2">
        <v>45148</v>
      </c>
      <c r="F506">
        <v>1</v>
      </c>
      <c r="G506" t="s">
        <v>57</v>
      </c>
      <c r="H506">
        <v>1</v>
      </c>
      <c r="I506" t="s">
        <v>66</v>
      </c>
      <c r="J506">
        <v>18746</v>
      </c>
      <c r="K506" t="s">
        <v>53</v>
      </c>
      <c r="L506" t="s">
        <v>26</v>
      </c>
      <c r="M506" t="s">
        <v>27</v>
      </c>
      <c r="N506" s="2">
        <v>45087</v>
      </c>
      <c r="O506" s="2">
        <v>45087.416666666664</v>
      </c>
      <c r="P506" t="s">
        <v>42</v>
      </c>
      <c r="Q506" t="s">
        <v>29</v>
      </c>
      <c r="R506" t="s">
        <v>43</v>
      </c>
      <c r="S506">
        <v>10</v>
      </c>
      <c r="T506">
        <v>10</v>
      </c>
      <c r="U506" t="s">
        <v>48</v>
      </c>
      <c r="V506" t="str">
        <f t="shared" si="7"/>
        <v>Jul-2023</v>
      </c>
      <c r="W506" s="16">
        <f>Table1[[#This Row],[Consultation Date]] - Table1[[#This Row],[Appointment Date]]</f>
        <v>0.41666666666424135</v>
      </c>
    </row>
    <row r="507" spans="1:23" x14ac:dyDescent="0.3">
      <c r="A507" t="s">
        <v>564</v>
      </c>
      <c r="B507">
        <v>89</v>
      </c>
      <c r="C507" t="s">
        <v>52</v>
      </c>
      <c r="D507" s="2">
        <v>45373</v>
      </c>
      <c r="E507" s="2">
        <v>45374</v>
      </c>
      <c r="F507">
        <v>1</v>
      </c>
      <c r="G507" t="s">
        <v>63</v>
      </c>
      <c r="H507">
        <v>5</v>
      </c>
      <c r="I507" t="s">
        <v>66</v>
      </c>
      <c r="J507">
        <v>25921</v>
      </c>
      <c r="K507" t="s">
        <v>53</v>
      </c>
      <c r="L507" t="s">
        <v>54</v>
      </c>
      <c r="M507" t="s">
        <v>27</v>
      </c>
      <c r="N507" s="2">
        <v>45369</v>
      </c>
      <c r="O507" s="2">
        <v>45370.541666666664</v>
      </c>
      <c r="P507" t="s">
        <v>37</v>
      </c>
      <c r="Q507" t="s">
        <v>29</v>
      </c>
      <c r="R507" t="s">
        <v>43</v>
      </c>
      <c r="S507">
        <v>6</v>
      </c>
      <c r="T507">
        <v>8</v>
      </c>
      <c r="U507" t="s">
        <v>31</v>
      </c>
      <c r="V507" t="str">
        <f t="shared" si="7"/>
        <v>Mar-2024</v>
      </c>
      <c r="W507" s="16">
        <f>Table1[[#This Row],[Consultation Date]] - Table1[[#This Row],[Appointment Date]]</f>
        <v>1.5416666666642413</v>
      </c>
    </row>
    <row r="508" spans="1:23" x14ac:dyDescent="0.3">
      <c r="A508" t="s">
        <v>565</v>
      </c>
      <c r="B508">
        <v>21</v>
      </c>
      <c r="C508" t="s">
        <v>62</v>
      </c>
      <c r="D508" s="2">
        <v>45631</v>
      </c>
      <c r="E508" s="2">
        <v>45430</v>
      </c>
      <c r="F508">
        <v>6</v>
      </c>
      <c r="G508" t="s">
        <v>23</v>
      </c>
      <c r="H508">
        <v>3</v>
      </c>
      <c r="I508" t="s">
        <v>24</v>
      </c>
      <c r="J508">
        <v>27745</v>
      </c>
      <c r="K508" t="s">
        <v>67</v>
      </c>
      <c r="L508" t="s">
        <v>54</v>
      </c>
      <c r="M508" t="s">
        <v>27</v>
      </c>
      <c r="N508" s="2">
        <v>45540</v>
      </c>
      <c r="O508" s="2">
        <v>45570.708333333336</v>
      </c>
      <c r="P508" t="s">
        <v>42</v>
      </c>
      <c r="Q508" t="s">
        <v>38</v>
      </c>
      <c r="R508" t="s">
        <v>30</v>
      </c>
      <c r="S508">
        <v>4</v>
      </c>
      <c r="T508">
        <v>10</v>
      </c>
      <c r="U508" t="s">
        <v>48</v>
      </c>
      <c r="V508" t="str">
        <f t="shared" si="7"/>
        <v>Dec-2024</v>
      </c>
      <c r="W508" s="16">
        <f>Table1[[#This Row],[Consultation Date]] - Table1[[#This Row],[Appointment Date]]</f>
        <v>30.708333333335759</v>
      </c>
    </row>
    <row r="509" spans="1:23" x14ac:dyDescent="0.3">
      <c r="A509" t="s">
        <v>566</v>
      </c>
      <c r="B509">
        <v>36</v>
      </c>
      <c r="C509" t="s">
        <v>33</v>
      </c>
      <c r="D509" s="2">
        <v>44956</v>
      </c>
      <c r="E509" s="2">
        <v>44970</v>
      </c>
      <c r="F509">
        <v>14</v>
      </c>
      <c r="G509" t="s">
        <v>57</v>
      </c>
      <c r="H509">
        <v>3</v>
      </c>
      <c r="I509" t="s">
        <v>24</v>
      </c>
      <c r="J509">
        <v>6245</v>
      </c>
      <c r="K509" t="s">
        <v>25</v>
      </c>
      <c r="L509" t="s">
        <v>26</v>
      </c>
      <c r="M509" t="s">
        <v>27</v>
      </c>
      <c r="N509" s="2">
        <v>44954</v>
      </c>
      <c r="O509" s="2">
        <v>44954.75</v>
      </c>
      <c r="P509" t="s">
        <v>28</v>
      </c>
      <c r="Q509" t="s">
        <v>29</v>
      </c>
      <c r="R509" t="s">
        <v>47</v>
      </c>
      <c r="S509">
        <v>8</v>
      </c>
      <c r="T509">
        <v>12</v>
      </c>
      <c r="U509" t="s">
        <v>68</v>
      </c>
      <c r="V509" t="str">
        <f t="shared" si="7"/>
        <v>Jan-2023</v>
      </c>
      <c r="W509" s="16">
        <f>Table1[[#This Row],[Consultation Date]] - Table1[[#This Row],[Appointment Date]]</f>
        <v>0.75</v>
      </c>
    </row>
    <row r="510" spans="1:23" x14ac:dyDescent="0.3">
      <c r="A510" t="s">
        <v>567</v>
      </c>
      <c r="B510">
        <v>10</v>
      </c>
      <c r="C510" t="s">
        <v>52</v>
      </c>
      <c r="D510" s="2">
        <v>45353</v>
      </c>
      <c r="E510" s="2">
        <v>45506</v>
      </c>
      <c r="F510">
        <v>5</v>
      </c>
      <c r="G510" t="s">
        <v>34</v>
      </c>
      <c r="H510">
        <v>5</v>
      </c>
      <c r="I510" t="s">
        <v>46</v>
      </c>
      <c r="J510">
        <v>29853</v>
      </c>
      <c r="K510" t="s">
        <v>36</v>
      </c>
      <c r="L510" t="s">
        <v>54</v>
      </c>
      <c r="M510" t="s">
        <v>27</v>
      </c>
      <c r="N510" s="2">
        <v>45324</v>
      </c>
      <c r="O510" s="2">
        <v>45353.708333333336</v>
      </c>
      <c r="P510" t="s">
        <v>42</v>
      </c>
      <c r="Q510" t="s">
        <v>29</v>
      </c>
      <c r="R510" t="s">
        <v>47</v>
      </c>
      <c r="S510">
        <v>5</v>
      </c>
      <c r="T510">
        <v>8</v>
      </c>
      <c r="U510" t="s">
        <v>31</v>
      </c>
      <c r="V510" t="str">
        <f t="shared" si="7"/>
        <v>Mar-2024</v>
      </c>
      <c r="W510" s="16">
        <f>Table1[[#This Row],[Consultation Date]] - Table1[[#This Row],[Appointment Date]]</f>
        <v>29.708333333335759</v>
      </c>
    </row>
    <row r="511" spans="1:23" x14ac:dyDescent="0.3">
      <c r="A511" t="s">
        <v>568</v>
      </c>
      <c r="B511">
        <v>73</v>
      </c>
      <c r="C511" t="s">
        <v>45</v>
      </c>
      <c r="D511" s="2">
        <v>45242</v>
      </c>
      <c r="E511" s="2">
        <v>45273</v>
      </c>
      <c r="F511">
        <v>2</v>
      </c>
      <c r="G511" t="s">
        <v>23</v>
      </c>
      <c r="H511">
        <v>4</v>
      </c>
      <c r="I511" t="s">
        <v>66</v>
      </c>
      <c r="J511">
        <v>32632</v>
      </c>
      <c r="K511" t="s">
        <v>36</v>
      </c>
      <c r="L511" t="s">
        <v>54</v>
      </c>
      <c r="M511" t="s">
        <v>41</v>
      </c>
      <c r="N511" s="2">
        <v>45242</v>
      </c>
      <c r="O511" s="2">
        <v>45272.125</v>
      </c>
      <c r="P511" t="s">
        <v>42</v>
      </c>
      <c r="Q511" t="s">
        <v>29</v>
      </c>
      <c r="R511" t="s">
        <v>43</v>
      </c>
      <c r="S511">
        <v>5</v>
      </c>
      <c r="T511">
        <v>12</v>
      </c>
      <c r="U511" t="s">
        <v>31</v>
      </c>
      <c r="V511" t="str">
        <f t="shared" si="7"/>
        <v>Nov-2023</v>
      </c>
      <c r="W511" s="16">
        <f>Table1[[#This Row],[Consultation Date]] - Table1[[#This Row],[Appointment Date]]</f>
        <v>30.125</v>
      </c>
    </row>
    <row r="512" spans="1:23" x14ac:dyDescent="0.3">
      <c r="A512" t="s">
        <v>569</v>
      </c>
      <c r="B512">
        <v>24</v>
      </c>
      <c r="C512" t="s">
        <v>41</v>
      </c>
      <c r="D512" s="2">
        <v>45341</v>
      </c>
      <c r="E512" s="2">
        <v>45294</v>
      </c>
      <c r="F512">
        <v>11</v>
      </c>
      <c r="G512" t="s">
        <v>63</v>
      </c>
      <c r="H512">
        <v>5</v>
      </c>
      <c r="I512" t="s">
        <v>24</v>
      </c>
      <c r="J512">
        <v>17856</v>
      </c>
      <c r="K512" t="s">
        <v>60</v>
      </c>
      <c r="L512" t="s">
        <v>54</v>
      </c>
      <c r="M512" t="s">
        <v>27</v>
      </c>
      <c r="N512" s="2">
        <v>45339</v>
      </c>
      <c r="O512" s="2">
        <v>45340.041666666664</v>
      </c>
      <c r="P512" t="s">
        <v>37</v>
      </c>
      <c r="Q512" t="s">
        <v>29</v>
      </c>
      <c r="R512" t="s">
        <v>47</v>
      </c>
      <c r="S512">
        <v>5</v>
      </c>
      <c r="T512">
        <v>12</v>
      </c>
      <c r="U512" t="s">
        <v>48</v>
      </c>
      <c r="V512" t="str">
        <f t="shared" si="7"/>
        <v>Feb-2024</v>
      </c>
      <c r="W512" s="16">
        <f>Table1[[#This Row],[Consultation Date]] - Table1[[#This Row],[Appointment Date]]</f>
        <v>1.0416666666642413</v>
      </c>
    </row>
    <row r="513" spans="1:23" x14ac:dyDescent="0.3">
      <c r="A513" t="s">
        <v>570</v>
      </c>
      <c r="B513">
        <v>64</v>
      </c>
      <c r="C513" t="s">
        <v>41</v>
      </c>
      <c r="D513" s="2">
        <v>45096</v>
      </c>
      <c r="E513" s="2">
        <v>44992</v>
      </c>
      <c r="F513">
        <v>14</v>
      </c>
      <c r="G513" t="s">
        <v>63</v>
      </c>
      <c r="H513">
        <v>5</v>
      </c>
      <c r="I513" t="s">
        <v>35</v>
      </c>
      <c r="J513">
        <v>10105</v>
      </c>
      <c r="K513" t="s">
        <v>53</v>
      </c>
      <c r="L513" t="s">
        <v>26</v>
      </c>
      <c r="M513" t="s">
        <v>41</v>
      </c>
      <c r="N513" s="2">
        <v>45095</v>
      </c>
      <c r="O513" s="2">
        <v>45096.208333333336</v>
      </c>
      <c r="P513" t="s">
        <v>64</v>
      </c>
      <c r="Q513" t="s">
        <v>29</v>
      </c>
      <c r="R513" t="s">
        <v>47</v>
      </c>
      <c r="S513">
        <v>10</v>
      </c>
      <c r="T513">
        <v>8</v>
      </c>
      <c r="U513" t="s">
        <v>31</v>
      </c>
      <c r="V513" t="str">
        <f t="shared" si="7"/>
        <v>Jun-2023</v>
      </c>
      <c r="W513" s="16">
        <f>Table1[[#This Row],[Consultation Date]] - Table1[[#This Row],[Appointment Date]]</f>
        <v>1.2083333333357587</v>
      </c>
    </row>
    <row r="514" spans="1:23" x14ac:dyDescent="0.3">
      <c r="A514" t="s">
        <v>571</v>
      </c>
      <c r="B514">
        <v>49</v>
      </c>
      <c r="C514" t="s">
        <v>62</v>
      </c>
      <c r="D514" s="2">
        <v>45405</v>
      </c>
      <c r="E514" s="2">
        <v>45478</v>
      </c>
      <c r="F514">
        <v>14</v>
      </c>
      <c r="G514" t="s">
        <v>50</v>
      </c>
      <c r="H514">
        <v>4</v>
      </c>
      <c r="I514" t="s">
        <v>46</v>
      </c>
      <c r="J514">
        <v>40690</v>
      </c>
      <c r="K514" t="s">
        <v>60</v>
      </c>
      <c r="L514" t="s">
        <v>26</v>
      </c>
      <c r="M514" t="s">
        <v>27</v>
      </c>
      <c r="N514" s="2">
        <v>45400</v>
      </c>
      <c r="O514" s="2">
        <v>45400.208333333336</v>
      </c>
      <c r="P514" t="s">
        <v>42</v>
      </c>
      <c r="Q514" t="s">
        <v>29</v>
      </c>
      <c r="R514" t="s">
        <v>43</v>
      </c>
      <c r="S514">
        <v>9</v>
      </c>
      <c r="T514">
        <v>12</v>
      </c>
      <c r="U514" t="s">
        <v>68</v>
      </c>
      <c r="V514" t="str">
        <f t="shared" ref="V514:V577" si="8">TEXT(D514,"mmm-yyyy")</f>
        <v>Apr-2024</v>
      </c>
      <c r="W514" s="16">
        <f>Table1[[#This Row],[Consultation Date]] - Table1[[#This Row],[Appointment Date]]</f>
        <v>0.20833333333575865</v>
      </c>
    </row>
    <row r="515" spans="1:23" x14ac:dyDescent="0.3">
      <c r="A515" t="s">
        <v>572</v>
      </c>
      <c r="B515">
        <v>36</v>
      </c>
      <c r="C515" t="s">
        <v>45</v>
      </c>
      <c r="D515" s="2">
        <v>45235</v>
      </c>
      <c r="E515" s="2">
        <v>45059</v>
      </c>
      <c r="F515">
        <v>2</v>
      </c>
      <c r="G515" t="s">
        <v>34</v>
      </c>
      <c r="H515">
        <v>4</v>
      </c>
      <c r="I515" t="s">
        <v>71</v>
      </c>
      <c r="J515">
        <v>7513</v>
      </c>
      <c r="K515" t="s">
        <v>67</v>
      </c>
      <c r="L515" t="s">
        <v>54</v>
      </c>
      <c r="M515" t="s">
        <v>27</v>
      </c>
      <c r="N515" s="2">
        <v>45143</v>
      </c>
      <c r="O515" s="2">
        <v>45174.708333333336</v>
      </c>
      <c r="P515" t="s">
        <v>42</v>
      </c>
      <c r="Q515" t="s">
        <v>29</v>
      </c>
      <c r="R515" t="s">
        <v>30</v>
      </c>
      <c r="S515">
        <v>7</v>
      </c>
      <c r="T515">
        <v>10</v>
      </c>
      <c r="U515" t="s">
        <v>48</v>
      </c>
      <c r="V515" t="str">
        <f t="shared" si="8"/>
        <v>Nov-2023</v>
      </c>
      <c r="W515" s="16">
        <f>Table1[[#This Row],[Consultation Date]] - Table1[[#This Row],[Appointment Date]]</f>
        <v>31.708333333335759</v>
      </c>
    </row>
    <row r="516" spans="1:23" x14ac:dyDescent="0.3">
      <c r="A516" t="s">
        <v>573</v>
      </c>
      <c r="B516">
        <v>82</v>
      </c>
      <c r="C516" t="s">
        <v>52</v>
      </c>
      <c r="D516" s="2">
        <v>44954</v>
      </c>
      <c r="E516" s="2">
        <v>45109</v>
      </c>
      <c r="F516">
        <v>10</v>
      </c>
      <c r="G516" t="s">
        <v>23</v>
      </c>
      <c r="H516">
        <v>4</v>
      </c>
      <c r="I516" t="s">
        <v>46</v>
      </c>
      <c r="J516">
        <v>7801</v>
      </c>
      <c r="K516" t="s">
        <v>36</v>
      </c>
      <c r="L516" t="s">
        <v>54</v>
      </c>
      <c r="M516" t="s">
        <v>41</v>
      </c>
      <c r="N516" s="2">
        <v>44949</v>
      </c>
      <c r="O516" s="2">
        <v>44949.25</v>
      </c>
      <c r="P516" t="s">
        <v>28</v>
      </c>
      <c r="Q516" t="s">
        <v>29</v>
      </c>
      <c r="R516" t="s">
        <v>43</v>
      </c>
      <c r="S516">
        <v>11</v>
      </c>
      <c r="T516">
        <v>12</v>
      </c>
      <c r="U516" t="s">
        <v>48</v>
      </c>
      <c r="V516" t="str">
        <f t="shared" si="8"/>
        <v>Jan-2023</v>
      </c>
      <c r="W516" s="16">
        <f>Table1[[#This Row],[Consultation Date]] - Table1[[#This Row],[Appointment Date]]</f>
        <v>0.25</v>
      </c>
    </row>
    <row r="517" spans="1:23" x14ac:dyDescent="0.3">
      <c r="A517" t="s">
        <v>574</v>
      </c>
      <c r="B517">
        <v>24</v>
      </c>
      <c r="C517" t="s">
        <v>45</v>
      </c>
      <c r="D517" s="2">
        <v>45506</v>
      </c>
      <c r="E517" s="2">
        <v>45340</v>
      </c>
      <c r="F517">
        <v>10</v>
      </c>
      <c r="G517" t="s">
        <v>23</v>
      </c>
      <c r="H517">
        <v>4</v>
      </c>
      <c r="I517" t="s">
        <v>71</v>
      </c>
      <c r="J517">
        <v>37345</v>
      </c>
      <c r="K517" t="s">
        <v>53</v>
      </c>
      <c r="L517" t="s">
        <v>26</v>
      </c>
      <c r="M517" t="s">
        <v>41</v>
      </c>
      <c r="N517" s="2">
        <v>45445</v>
      </c>
      <c r="O517" s="2">
        <v>45475.083333333336</v>
      </c>
      <c r="P517" t="s">
        <v>28</v>
      </c>
      <c r="Q517" t="s">
        <v>38</v>
      </c>
      <c r="R517" t="s">
        <v>43</v>
      </c>
      <c r="S517">
        <v>10</v>
      </c>
      <c r="T517">
        <v>12</v>
      </c>
      <c r="U517" t="s">
        <v>31</v>
      </c>
      <c r="V517" t="str">
        <f t="shared" si="8"/>
        <v>Aug-2024</v>
      </c>
      <c r="W517" s="16">
        <f>Table1[[#This Row],[Consultation Date]] - Table1[[#This Row],[Appointment Date]]</f>
        <v>30.083333333335759</v>
      </c>
    </row>
    <row r="518" spans="1:23" x14ac:dyDescent="0.3">
      <c r="A518" t="s">
        <v>575</v>
      </c>
      <c r="B518">
        <v>23</v>
      </c>
      <c r="C518" t="s">
        <v>45</v>
      </c>
      <c r="D518" s="2">
        <v>44954</v>
      </c>
      <c r="E518" s="2">
        <v>45079</v>
      </c>
      <c r="F518">
        <v>9</v>
      </c>
      <c r="G518" t="s">
        <v>40</v>
      </c>
      <c r="H518">
        <v>4</v>
      </c>
      <c r="I518" t="s">
        <v>66</v>
      </c>
      <c r="J518">
        <v>18895</v>
      </c>
      <c r="K518" t="s">
        <v>67</v>
      </c>
      <c r="L518" t="s">
        <v>54</v>
      </c>
      <c r="M518" t="s">
        <v>27</v>
      </c>
      <c r="N518" s="2">
        <v>44949</v>
      </c>
      <c r="O518" s="2">
        <v>44950.375</v>
      </c>
      <c r="P518" t="s">
        <v>28</v>
      </c>
      <c r="Q518" t="s">
        <v>29</v>
      </c>
      <c r="R518" t="s">
        <v>43</v>
      </c>
      <c r="S518">
        <v>9</v>
      </c>
      <c r="T518">
        <v>12</v>
      </c>
      <c r="U518" t="s">
        <v>31</v>
      </c>
      <c r="V518" t="str">
        <f t="shared" si="8"/>
        <v>Jan-2023</v>
      </c>
      <c r="W518" s="16">
        <f>Table1[[#This Row],[Consultation Date]] - Table1[[#This Row],[Appointment Date]]</f>
        <v>1.375</v>
      </c>
    </row>
    <row r="519" spans="1:23" x14ac:dyDescent="0.3">
      <c r="A519" t="s">
        <v>576</v>
      </c>
      <c r="B519">
        <v>62</v>
      </c>
      <c r="C519" t="s">
        <v>52</v>
      </c>
      <c r="D519" s="2">
        <v>45012</v>
      </c>
      <c r="E519" s="2">
        <v>44989</v>
      </c>
      <c r="F519">
        <v>7</v>
      </c>
      <c r="G519" t="s">
        <v>50</v>
      </c>
      <c r="H519">
        <v>5</v>
      </c>
      <c r="I519" t="s">
        <v>71</v>
      </c>
      <c r="J519">
        <v>44749</v>
      </c>
      <c r="K519" t="s">
        <v>67</v>
      </c>
      <c r="L519" t="s">
        <v>54</v>
      </c>
      <c r="M519" t="s">
        <v>27</v>
      </c>
      <c r="N519" s="2">
        <v>45011</v>
      </c>
      <c r="O519" s="2">
        <v>45013</v>
      </c>
      <c r="P519" t="s">
        <v>55</v>
      </c>
      <c r="Q519" t="s">
        <v>29</v>
      </c>
      <c r="R519" t="s">
        <v>30</v>
      </c>
      <c r="S519">
        <v>5</v>
      </c>
      <c r="T519">
        <v>10</v>
      </c>
      <c r="U519" t="s">
        <v>31</v>
      </c>
      <c r="V519" t="str">
        <f t="shared" si="8"/>
        <v>Mar-2023</v>
      </c>
      <c r="W519" s="16">
        <f>Table1[[#This Row],[Consultation Date]] - Table1[[#This Row],[Appointment Date]]</f>
        <v>2</v>
      </c>
    </row>
    <row r="520" spans="1:23" x14ac:dyDescent="0.3">
      <c r="A520" t="s">
        <v>577</v>
      </c>
      <c r="B520">
        <v>37</v>
      </c>
      <c r="C520" t="s">
        <v>33</v>
      </c>
      <c r="D520" s="2">
        <v>45365</v>
      </c>
      <c r="E520" s="2">
        <v>45373</v>
      </c>
      <c r="F520">
        <v>8</v>
      </c>
      <c r="G520" t="s">
        <v>50</v>
      </c>
      <c r="H520">
        <v>2</v>
      </c>
      <c r="I520" t="s">
        <v>66</v>
      </c>
      <c r="J520">
        <v>13221</v>
      </c>
      <c r="K520" t="s">
        <v>53</v>
      </c>
      <c r="L520" t="s">
        <v>54</v>
      </c>
      <c r="M520" t="s">
        <v>27</v>
      </c>
      <c r="N520" s="2">
        <v>45365</v>
      </c>
      <c r="O520" s="2">
        <v>45365.75</v>
      </c>
      <c r="P520" t="s">
        <v>42</v>
      </c>
      <c r="Q520" t="s">
        <v>29</v>
      </c>
      <c r="R520" t="s">
        <v>30</v>
      </c>
      <c r="S520">
        <v>8</v>
      </c>
      <c r="T520">
        <v>12</v>
      </c>
      <c r="U520" t="s">
        <v>48</v>
      </c>
      <c r="V520" t="str">
        <f t="shared" si="8"/>
        <v>Mar-2024</v>
      </c>
      <c r="W520" s="16">
        <f>Table1[[#This Row],[Consultation Date]] - Table1[[#This Row],[Appointment Date]]</f>
        <v>0.75</v>
      </c>
    </row>
    <row r="521" spans="1:23" x14ac:dyDescent="0.3">
      <c r="A521" t="s">
        <v>578</v>
      </c>
      <c r="B521">
        <v>12</v>
      </c>
      <c r="C521" t="s">
        <v>45</v>
      </c>
      <c r="D521" s="2">
        <v>45065</v>
      </c>
      <c r="E521" s="2">
        <v>45075</v>
      </c>
      <c r="F521">
        <v>10</v>
      </c>
      <c r="G521" t="s">
        <v>23</v>
      </c>
      <c r="H521">
        <v>2</v>
      </c>
      <c r="I521" t="s">
        <v>35</v>
      </c>
      <c r="J521">
        <v>11038</v>
      </c>
      <c r="K521" t="s">
        <v>67</v>
      </c>
      <c r="L521" t="s">
        <v>26</v>
      </c>
      <c r="M521" t="s">
        <v>41</v>
      </c>
      <c r="N521" s="2">
        <v>45060</v>
      </c>
      <c r="O521" s="2">
        <v>45061.875</v>
      </c>
      <c r="P521" t="s">
        <v>28</v>
      </c>
      <c r="Q521" t="s">
        <v>29</v>
      </c>
      <c r="R521" t="s">
        <v>30</v>
      </c>
      <c r="S521">
        <v>11</v>
      </c>
      <c r="T521">
        <v>12</v>
      </c>
      <c r="U521" t="s">
        <v>31</v>
      </c>
      <c r="V521" t="str">
        <f t="shared" si="8"/>
        <v>May-2023</v>
      </c>
      <c r="W521" s="16">
        <f>Table1[[#This Row],[Consultation Date]] - Table1[[#This Row],[Appointment Date]]</f>
        <v>1.875</v>
      </c>
    </row>
    <row r="522" spans="1:23" x14ac:dyDescent="0.3">
      <c r="A522" t="s">
        <v>579</v>
      </c>
      <c r="B522">
        <v>55</v>
      </c>
      <c r="C522" t="s">
        <v>45</v>
      </c>
      <c r="D522" s="2">
        <v>45399</v>
      </c>
      <c r="E522" s="2">
        <v>45408</v>
      </c>
      <c r="F522">
        <v>9</v>
      </c>
      <c r="G522" t="s">
        <v>23</v>
      </c>
      <c r="H522">
        <v>1</v>
      </c>
      <c r="I522" t="s">
        <v>71</v>
      </c>
      <c r="J522">
        <v>37031</v>
      </c>
      <c r="K522" t="s">
        <v>53</v>
      </c>
      <c r="L522" t="s">
        <v>54</v>
      </c>
      <c r="M522" t="s">
        <v>41</v>
      </c>
      <c r="N522" s="2">
        <v>45397</v>
      </c>
      <c r="O522" s="2">
        <v>45398</v>
      </c>
      <c r="P522" t="s">
        <v>37</v>
      </c>
      <c r="Q522" t="s">
        <v>29</v>
      </c>
      <c r="R522" t="s">
        <v>30</v>
      </c>
      <c r="S522">
        <v>6</v>
      </c>
      <c r="T522">
        <v>10</v>
      </c>
      <c r="U522" t="s">
        <v>68</v>
      </c>
      <c r="V522" t="str">
        <f t="shared" si="8"/>
        <v>Apr-2024</v>
      </c>
      <c r="W522" s="16">
        <f>Table1[[#This Row],[Consultation Date]] - Table1[[#This Row],[Appointment Date]]</f>
        <v>1</v>
      </c>
    </row>
    <row r="523" spans="1:23" x14ac:dyDescent="0.3">
      <c r="A523" t="s">
        <v>580</v>
      </c>
      <c r="B523">
        <v>13</v>
      </c>
      <c r="C523" t="s">
        <v>33</v>
      </c>
      <c r="D523" s="2">
        <v>45084</v>
      </c>
      <c r="E523" s="2">
        <v>45126</v>
      </c>
      <c r="F523">
        <v>13</v>
      </c>
      <c r="G523" t="s">
        <v>57</v>
      </c>
      <c r="H523">
        <v>2</v>
      </c>
      <c r="I523" t="s">
        <v>46</v>
      </c>
      <c r="J523">
        <v>20082</v>
      </c>
      <c r="K523" t="s">
        <v>53</v>
      </c>
      <c r="L523" t="s">
        <v>26</v>
      </c>
      <c r="M523" t="s">
        <v>27</v>
      </c>
      <c r="N523" s="2">
        <v>45023</v>
      </c>
      <c r="O523" s="2">
        <v>45053.25</v>
      </c>
      <c r="P523" t="s">
        <v>55</v>
      </c>
      <c r="Q523" t="s">
        <v>38</v>
      </c>
      <c r="R523" t="s">
        <v>43</v>
      </c>
      <c r="S523">
        <v>9</v>
      </c>
      <c r="T523">
        <v>8</v>
      </c>
      <c r="U523" t="s">
        <v>31</v>
      </c>
      <c r="V523" t="str">
        <f t="shared" si="8"/>
        <v>Jun-2023</v>
      </c>
      <c r="W523" s="16">
        <f>Table1[[#This Row],[Consultation Date]] - Table1[[#This Row],[Appointment Date]]</f>
        <v>30.25</v>
      </c>
    </row>
    <row r="524" spans="1:23" x14ac:dyDescent="0.3">
      <c r="A524" t="s">
        <v>581</v>
      </c>
      <c r="B524">
        <v>23</v>
      </c>
      <c r="C524" t="s">
        <v>45</v>
      </c>
      <c r="D524" s="2">
        <v>44978</v>
      </c>
      <c r="E524" s="2">
        <v>45049</v>
      </c>
      <c r="F524">
        <v>12</v>
      </c>
      <c r="G524" t="s">
        <v>57</v>
      </c>
      <c r="H524">
        <v>2</v>
      </c>
      <c r="I524" t="s">
        <v>66</v>
      </c>
      <c r="J524">
        <v>19648</v>
      </c>
      <c r="K524" t="s">
        <v>25</v>
      </c>
      <c r="L524" t="s">
        <v>54</v>
      </c>
      <c r="M524" t="s">
        <v>27</v>
      </c>
      <c r="N524" s="2">
        <v>44974</v>
      </c>
      <c r="O524" s="2">
        <v>44975.333333333336</v>
      </c>
      <c r="P524" t="s">
        <v>64</v>
      </c>
      <c r="Q524" t="s">
        <v>29</v>
      </c>
      <c r="R524" t="s">
        <v>47</v>
      </c>
      <c r="S524">
        <v>8</v>
      </c>
      <c r="T524">
        <v>8</v>
      </c>
      <c r="U524" t="s">
        <v>31</v>
      </c>
      <c r="V524" t="str">
        <f t="shared" si="8"/>
        <v>Feb-2023</v>
      </c>
      <c r="W524" s="16">
        <f>Table1[[#This Row],[Consultation Date]] - Table1[[#This Row],[Appointment Date]]</f>
        <v>1.3333333333357587</v>
      </c>
    </row>
    <row r="525" spans="1:23" x14ac:dyDescent="0.3">
      <c r="A525" t="s">
        <v>582</v>
      </c>
      <c r="B525">
        <v>89</v>
      </c>
      <c r="C525" t="s">
        <v>45</v>
      </c>
      <c r="D525" s="2">
        <v>45193</v>
      </c>
      <c r="E525" s="2">
        <v>45179</v>
      </c>
      <c r="F525">
        <v>15</v>
      </c>
      <c r="G525" t="s">
        <v>57</v>
      </c>
      <c r="H525">
        <v>5</v>
      </c>
      <c r="I525" t="s">
        <v>46</v>
      </c>
      <c r="J525">
        <v>5364</v>
      </c>
      <c r="K525" t="s">
        <v>60</v>
      </c>
      <c r="L525" t="s">
        <v>26</v>
      </c>
      <c r="M525" t="s">
        <v>41</v>
      </c>
      <c r="N525" s="2">
        <v>45188</v>
      </c>
      <c r="O525" s="2">
        <v>45188.875</v>
      </c>
      <c r="P525" t="s">
        <v>42</v>
      </c>
      <c r="Q525" t="s">
        <v>29</v>
      </c>
      <c r="R525" t="s">
        <v>43</v>
      </c>
      <c r="S525">
        <v>10</v>
      </c>
      <c r="T525">
        <v>8</v>
      </c>
      <c r="U525" t="s">
        <v>48</v>
      </c>
      <c r="V525" t="str">
        <f t="shared" si="8"/>
        <v>Sep-2023</v>
      </c>
      <c r="W525" s="16">
        <f>Table1[[#This Row],[Consultation Date]] - Table1[[#This Row],[Appointment Date]]</f>
        <v>0.875</v>
      </c>
    </row>
    <row r="526" spans="1:23" x14ac:dyDescent="0.3">
      <c r="A526" t="s">
        <v>583</v>
      </c>
      <c r="B526">
        <v>30</v>
      </c>
      <c r="C526" t="s">
        <v>45</v>
      </c>
      <c r="D526" s="2">
        <v>45315</v>
      </c>
      <c r="E526" s="2">
        <v>45316</v>
      </c>
      <c r="F526">
        <v>1</v>
      </c>
      <c r="G526" t="s">
        <v>50</v>
      </c>
      <c r="H526">
        <v>4</v>
      </c>
      <c r="I526" t="s">
        <v>24</v>
      </c>
      <c r="J526">
        <v>39568</v>
      </c>
      <c r="K526" t="s">
        <v>67</v>
      </c>
      <c r="L526" t="s">
        <v>26</v>
      </c>
      <c r="M526" t="s">
        <v>27</v>
      </c>
      <c r="N526" s="2">
        <v>45314</v>
      </c>
      <c r="O526" s="2">
        <v>45315.583333333336</v>
      </c>
      <c r="P526" t="s">
        <v>42</v>
      </c>
      <c r="Q526" t="s">
        <v>29</v>
      </c>
      <c r="R526" t="s">
        <v>30</v>
      </c>
      <c r="S526">
        <v>10</v>
      </c>
      <c r="T526">
        <v>12</v>
      </c>
      <c r="U526" t="s">
        <v>31</v>
      </c>
      <c r="V526" t="str">
        <f t="shared" si="8"/>
        <v>Jan-2024</v>
      </c>
      <c r="W526" s="16">
        <f>Table1[[#This Row],[Consultation Date]] - Table1[[#This Row],[Appointment Date]]</f>
        <v>1.5833333333357587</v>
      </c>
    </row>
    <row r="527" spans="1:23" x14ac:dyDescent="0.3">
      <c r="A527" t="s">
        <v>584</v>
      </c>
      <c r="B527">
        <v>17</v>
      </c>
      <c r="C527" t="s">
        <v>41</v>
      </c>
      <c r="D527" s="2">
        <v>44969</v>
      </c>
      <c r="E527" s="2">
        <v>45211</v>
      </c>
      <c r="F527">
        <v>8</v>
      </c>
      <c r="G527" t="s">
        <v>40</v>
      </c>
      <c r="H527">
        <v>4</v>
      </c>
      <c r="I527" t="s">
        <v>66</v>
      </c>
      <c r="J527">
        <v>19110</v>
      </c>
      <c r="K527" t="s">
        <v>67</v>
      </c>
      <c r="L527" t="s">
        <v>54</v>
      </c>
      <c r="M527" t="s">
        <v>41</v>
      </c>
      <c r="N527" s="2">
        <v>44938</v>
      </c>
      <c r="O527" s="2">
        <v>44938.041666666664</v>
      </c>
      <c r="P527" t="s">
        <v>37</v>
      </c>
      <c r="Q527" t="s">
        <v>29</v>
      </c>
      <c r="R527" t="s">
        <v>47</v>
      </c>
      <c r="S527">
        <v>11</v>
      </c>
      <c r="T527">
        <v>8</v>
      </c>
      <c r="U527" t="s">
        <v>48</v>
      </c>
      <c r="V527" t="str">
        <f t="shared" si="8"/>
        <v>Feb-2023</v>
      </c>
      <c r="W527" s="16">
        <f>Table1[[#This Row],[Consultation Date]] - Table1[[#This Row],[Appointment Date]]</f>
        <v>4.1666666664241347E-2</v>
      </c>
    </row>
    <row r="528" spans="1:23" x14ac:dyDescent="0.3">
      <c r="A528" t="s">
        <v>585</v>
      </c>
      <c r="B528">
        <v>62</v>
      </c>
      <c r="C528" t="s">
        <v>22</v>
      </c>
      <c r="D528" s="2">
        <v>45054</v>
      </c>
      <c r="E528" s="2">
        <v>45158</v>
      </c>
      <c r="F528">
        <v>15</v>
      </c>
      <c r="G528" t="s">
        <v>63</v>
      </c>
      <c r="H528">
        <v>5</v>
      </c>
      <c r="I528" t="s">
        <v>71</v>
      </c>
      <c r="J528">
        <v>10958</v>
      </c>
      <c r="K528" t="s">
        <v>25</v>
      </c>
      <c r="L528" t="s">
        <v>54</v>
      </c>
      <c r="M528" t="s">
        <v>27</v>
      </c>
      <c r="N528" s="2">
        <v>44934</v>
      </c>
      <c r="O528" s="2">
        <v>44965.958333333336</v>
      </c>
      <c r="P528" t="s">
        <v>64</v>
      </c>
      <c r="Q528" t="s">
        <v>29</v>
      </c>
      <c r="R528" t="s">
        <v>43</v>
      </c>
      <c r="S528">
        <v>5</v>
      </c>
      <c r="T528">
        <v>10</v>
      </c>
      <c r="U528" t="s">
        <v>31</v>
      </c>
      <c r="V528" t="str">
        <f t="shared" si="8"/>
        <v>May-2023</v>
      </c>
      <c r="W528" s="16">
        <f>Table1[[#This Row],[Consultation Date]] - Table1[[#This Row],[Appointment Date]]</f>
        <v>31.958333333335759</v>
      </c>
    </row>
    <row r="529" spans="1:23" x14ac:dyDescent="0.3">
      <c r="A529" t="s">
        <v>586</v>
      </c>
      <c r="B529">
        <v>84</v>
      </c>
      <c r="C529" t="s">
        <v>33</v>
      </c>
      <c r="D529" s="2">
        <v>45569</v>
      </c>
      <c r="E529" s="2">
        <v>45405</v>
      </c>
      <c r="F529">
        <v>13</v>
      </c>
      <c r="G529" t="s">
        <v>57</v>
      </c>
      <c r="H529">
        <v>2</v>
      </c>
      <c r="I529" t="s">
        <v>66</v>
      </c>
      <c r="J529">
        <v>14096</v>
      </c>
      <c r="K529" t="s">
        <v>25</v>
      </c>
      <c r="L529" t="s">
        <v>54</v>
      </c>
      <c r="M529" t="s">
        <v>27</v>
      </c>
      <c r="N529" s="2">
        <v>45416</v>
      </c>
      <c r="O529" s="2">
        <v>45416.25</v>
      </c>
      <c r="P529" t="s">
        <v>64</v>
      </c>
      <c r="Q529" t="s">
        <v>29</v>
      </c>
      <c r="R529" t="s">
        <v>47</v>
      </c>
      <c r="S529">
        <v>6</v>
      </c>
      <c r="T529">
        <v>12</v>
      </c>
      <c r="U529" t="s">
        <v>68</v>
      </c>
      <c r="V529" t="str">
        <f t="shared" si="8"/>
        <v>Oct-2024</v>
      </c>
      <c r="W529" s="16">
        <f>Table1[[#This Row],[Consultation Date]] - Table1[[#This Row],[Appointment Date]]</f>
        <v>0.25</v>
      </c>
    </row>
    <row r="530" spans="1:23" x14ac:dyDescent="0.3">
      <c r="A530" t="s">
        <v>587</v>
      </c>
      <c r="B530">
        <v>89</v>
      </c>
      <c r="C530" t="s">
        <v>45</v>
      </c>
      <c r="D530" s="2">
        <v>44938</v>
      </c>
      <c r="E530" s="2">
        <v>45242</v>
      </c>
      <c r="F530">
        <v>10</v>
      </c>
      <c r="G530" t="s">
        <v>40</v>
      </c>
      <c r="H530">
        <v>5</v>
      </c>
      <c r="I530" t="s">
        <v>46</v>
      </c>
      <c r="J530">
        <v>12436</v>
      </c>
      <c r="K530" t="s">
        <v>25</v>
      </c>
      <c r="L530" t="s">
        <v>54</v>
      </c>
      <c r="M530" t="s">
        <v>27</v>
      </c>
      <c r="N530" s="2">
        <v>45258</v>
      </c>
      <c r="O530" s="2">
        <v>45259.958333333336</v>
      </c>
      <c r="P530" t="s">
        <v>55</v>
      </c>
      <c r="Q530" t="s">
        <v>29</v>
      </c>
      <c r="R530" t="s">
        <v>30</v>
      </c>
      <c r="S530">
        <v>4</v>
      </c>
      <c r="T530">
        <v>12</v>
      </c>
      <c r="U530" t="s">
        <v>68</v>
      </c>
      <c r="V530" t="str">
        <f t="shared" si="8"/>
        <v>Jan-2023</v>
      </c>
      <c r="W530" s="16">
        <f>Table1[[#This Row],[Consultation Date]] - Table1[[#This Row],[Appointment Date]]</f>
        <v>1.9583333333357587</v>
      </c>
    </row>
    <row r="531" spans="1:23" x14ac:dyDescent="0.3">
      <c r="A531" t="s">
        <v>588</v>
      </c>
      <c r="B531">
        <v>86</v>
      </c>
      <c r="C531" t="s">
        <v>41</v>
      </c>
      <c r="D531" s="2">
        <v>45272</v>
      </c>
      <c r="E531" s="2">
        <v>45283</v>
      </c>
      <c r="F531">
        <v>11</v>
      </c>
      <c r="G531" t="s">
        <v>34</v>
      </c>
      <c r="H531">
        <v>1</v>
      </c>
      <c r="I531" t="s">
        <v>35</v>
      </c>
      <c r="J531">
        <v>26177</v>
      </c>
      <c r="K531" t="s">
        <v>36</v>
      </c>
      <c r="L531" t="s">
        <v>26</v>
      </c>
      <c r="M531" t="s">
        <v>27</v>
      </c>
      <c r="N531" s="2">
        <v>45181</v>
      </c>
      <c r="O531" s="2">
        <v>45211.25</v>
      </c>
      <c r="P531" t="s">
        <v>42</v>
      </c>
      <c r="Q531" t="s">
        <v>29</v>
      </c>
      <c r="R531" t="s">
        <v>47</v>
      </c>
      <c r="S531">
        <v>4</v>
      </c>
      <c r="T531">
        <v>12</v>
      </c>
      <c r="U531" t="s">
        <v>48</v>
      </c>
      <c r="V531" t="str">
        <f t="shared" si="8"/>
        <v>Dec-2023</v>
      </c>
      <c r="W531" s="16">
        <f>Table1[[#This Row],[Consultation Date]] - Table1[[#This Row],[Appointment Date]]</f>
        <v>30.25</v>
      </c>
    </row>
    <row r="532" spans="1:23" x14ac:dyDescent="0.3">
      <c r="A532" t="s">
        <v>589</v>
      </c>
      <c r="B532">
        <v>13</v>
      </c>
      <c r="C532" t="s">
        <v>33</v>
      </c>
      <c r="D532" s="2">
        <v>45315</v>
      </c>
      <c r="E532" s="2">
        <v>45319</v>
      </c>
      <c r="F532">
        <v>4</v>
      </c>
      <c r="G532" t="s">
        <v>57</v>
      </c>
      <c r="H532">
        <v>4</v>
      </c>
      <c r="I532" t="s">
        <v>66</v>
      </c>
      <c r="J532">
        <v>31754</v>
      </c>
      <c r="K532" t="s">
        <v>36</v>
      </c>
      <c r="L532" t="s">
        <v>54</v>
      </c>
      <c r="M532" t="s">
        <v>27</v>
      </c>
      <c r="N532" s="2">
        <v>45311</v>
      </c>
      <c r="O532" s="2">
        <v>45312.708333333336</v>
      </c>
      <c r="P532" t="s">
        <v>28</v>
      </c>
      <c r="Q532" t="s">
        <v>29</v>
      </c>
      <c r="R532" t="s">
        <v>47</v>
      </c>
      <c r="S532">
        <v>10</v>
      </c>
      <c r="T532">
        <v>8</v>
      </c>
      <c r="U532" t="s">
        <v>48</v>
      </c>
      <c r="V532" t="str">
        <f t="shared" si="8"/>
        <v>Jan-2024</v>
      </c>
      <c r="W532" s="16">
        <f>Table1[[#This Row],[Consultation Date]] - Table1[[#This Row],[Appointment Date]]</f>
        <v>1.7083333333357587</v>
      </c>
    </row>
    <row r="533" spans="1:23" x14ac:dyDescent="0.3">
      <c r="A533" t="s">
        <v>590</v>
      </c>
      <c r="B533">
        <v>59</v>
      </c>
      <c r="C533" t="s">
        <v>62</v>
      </c>
      <c r="D533" s="2">
        <v>45270</v>
      </c>
      <c r="E533" s="2">
        <v>45217</v>
      </c>
      <c r="F533">
        <v>6</v>
      </c>
      <c r="G533" t="s">
        <v>63</v>
      </c>
      <c r="H533">
        <v>3</v>
      </c>
      <c r="I533" t="s">
        <v>71</v>
      </c>
      <c r="J533">
        <v>29544</v>
      </c>
      <c r="K533" t="s">
        <v>36</v>
      </c>
      <c r="L533" t="s">
        <v>26</v>
      </c>
      <c r="M533" t="s">
        <v>41</v>
      </c>
      <c r="N533" s="2">
        <v>45209</v>
      </c>
      <c r="O533" s="2">
        <v>45240.791666666664</v>
      </c>
      <c r="P533" t="s">
        <v>37</v>
      </c>
      <c r="Q533" t="s">
        <v>29</v>
      </c>
      <c r="R533" t="s">
        <v>30</v>
      </c>
      <c r="S533">
        <v>8</v>
      </c>
      <c r="T533">
        <v>8</v>
      </c>
      <c r="U533" t="s">
        <v>31</v>
      </c>
      <c r="V533" t="str">
        <f t="shared" si="8"/>
        <v>Dec-2023</v>
      </c>
      <c r="W533" s="16">
        <f>Table1[[#This Row],[Consultation Date]] - Table1[[#This Row],[Appointment Date]]</f>
        <v>31.791666666664241</v>
      </c>
    </row>
    <row r="534" spans="1:23" x14ac:dyDescent="0.3">
      <c r="A534" t="s">
        <v>591</v>
      </c>
      <c r="B534">
        <v>19</v>
      </c>
      <c r="C534" t="s">
        <v>62</v>
      </c>
      <c r="D534" s="2">
        <v>45476</v>
      </c>
      <c r="E534" s="2">
        <v>45368</v>
      </c>
      <c r="F534">
        <v>10</v>
      </c>
      <c r="G534" t="s">
        <v>34</v>
      </c>
      <c r="H534">
        <v>1</v>
      </c>
      <c r="I534" t="s">
        <v>24</v>
      </c>
      <c r="J534">
        <v>17638</v>
      </c>
      <c r="K534" t="s">
        <v>53</v>
      </c>
      <c r="L534" t="s">
        <v>54</v>
      </c>
      <c r="M534" t="s">
        <v>41</v>
      </c>
      <c r="N534" s="2">
        <v>45476</v>
      </c>
      <c r="O534" s="2">
        <v>45507.875</v>
      </c>
      <c r="P534" t="s">
        <v>37</v>
      </c>
      <c r="Q534" t="s">
        <v>29</v>
      </c>
      <c r="R534" t="s">
        <v>47</v>
      </c>
      <c r="S534">
        <v>6</v>
      </c>
      <c r="T534">
        <v>8</v>
      </c>
      <c r="U534" t="s">
        <v>31</v>
      </c>
      <c r="V534" t="str">
        <f t="shared" si="8"/>
        <v>Jul-2024</v>
      </c>
      <c r="W534" s="16">
        <f>Table1[[#This Row],[Consultation Date]] - Table1[[#This Row],[Appointment Date]]</f>
        <v>31.875</v>
      </c>
    </row>
    <row r="535" spans="1:23" x14ac:dyDescent="0.3">
      <c r="A535" t="s">
        <v>592</v>
      </c>
      <c r="B535">
        <v>49</v>
      </c>
      <c r="C535" t="s">
        <v>45</v>
      </c>
      <c r="D535" s="2">
        <v>45185</v>
      </c>
      <c r="E535" s="2">
        <v>45193</v>
      </c>
      <c r="F535">
        <v>8</v>
      </c>
      <c r="G535" t="s">
        <v>34</v>
      </c>
      <c r="H535">
        <v>1</v>
      </c>
      <c r="I535" t="s">
        <v>35</v>
      </c>
      <c r="J535">
        <v>5179</v>
      </c>
      <c r="K535" t="s">
        <v>67</v>
      </c>
      <c r="L535" t="s">
        <v>54</v>
      </c>
      <c r="M535" t="s">
        <v>27</v>
      </c>
      <c r="N535" s="2">
        <v>45182</v>
      </c>
      <c r="O535" s="2">
        <v>45182.958333333336</v>
      </c>
      <c r="P535" t="s">
        <v>37</v>
      </c>
      <c r="Q535" t="s">
        <v>29</v>
      </c>
      <c r="R535" t="s">
        <v>43</v>
      </c>
      <c r="S535">
        <v>8</v>
      </c>
      <c r="T535">
        <v>12</v>
      </c>
      <c r="U535" t="s">
        <v>68</v>
      </c>
      <c r="V535" t="str">
        <f t="shared" si="8"/>
        <v>Sep-2023</v>
      </c>
      <c r="W535" s="16">
        <f>Table1[[#This Row],[Consultation Date]] - Table1[[#This Row],[Appointment Date]]</f>
        <v>0.95833333333575865</v>
      </c>
    </row>
    <row r="536" spans="1:23" x14ac:dyDescent="0.3">
      <c r="A536" t="s">
        <v>593</v>
      </c>
      <c r="B536">
        <v>12</v>
      </c>
      <c r="C536" t="s">
        <v>41</v>
      </c>
      <c r="D536" s="2">
        <v>45010</v>
      </c>
      <c r="E536" s="2">
        <v>44989</v>
      </c>
      <c r="F536">
        <v>9</v>
      </c>
      <c r="G536" t="s">
        <v>63</v>
      </c>
      <c r="H536">
        <v>5</v>
      </c>
      <c r="I536" t="s">
        <v>24</v>
      </c>
      <c r="J536">
        <v>8873</v>
      </c>
      <c r="K536" t="s">
        <v>60</v>
      </c>
      <c r="L536" t="s">
        <v>54</v>
      </c>
      <c r="M536" t="s">
        <v>27</v>
      </c>
      <c r="N536" s="2">
        <v>45005</v>
      </c>
      <c r="O536" s="2">
        <v>45005.208333333336</v>
      </c>
      <c r="P536" t="s">
        <v>37</v>
      </c>
      <c r="Q536" t="s">
        <v>29</v>
      </c>
      <c r="R536" t="s">
        <v>47</v>
      </c>
      <c r="S536">
        <v>6</v>
      </c>
      <c r="T536">
        <v>10</v>
      </c>
      <c r="U536" t="s">
        <v>31</v>
      </c>
      <c r="V536" t="str">
        <f t="shared" si="8"/>
        <v>Mar-2023</v>
      </c>
      <c r="W536" s="16">
        <f>Table1[[#This Row],[Consultation Date]] - Table1[[#This Row],[Appointment Date]]</f>
        <v>0.20833333333575865</v>
      </c>
    </row>
    <row r="537" spans="1:23" x14ac:dyDescent="0.3">
      <c r="A537" t="s">
        <v>594</v>
      </c>
      <c r="B537">
        <v>61</v>
      </c>
      <c r="C537" t="s">
        <v>41</v>
      </c>
      <c r="D537" s="2">
        <v>45408</v>
      </c>
      <c r="E537" s="2">
        <v>45411</v>
      </c>
      <c r="F537">
        <v>3</v>
      </c>
      <c r="G537" t="s">
        <v>57</v>
      </c>
      <c r="H537">
        <v>2</v>
      </c>
      <c r="I537" t="s">
        <v>66</v>
      </c>
      <c r="J537">
        <v>22570</v>
      </c>
      <c r="K537" t="s">
        <v>53</v>
      </c>
      <c r="L537" t="s">
        <v>54</v>
      </c>
      <c r="M537" t="s">
        <v>27</v>
      </c>
      <c r="N537" s="2">
        <v>45408</v>
      </c>
      <c r="O537" s="2">
        <v>45409.458333333336</v>
      </c>
      <c r="P537" t="s">
        <v>28</v>
      </c>
      <c r="Q537" t="s">
        <v>29</v>
      </c>
      <c r="R537" t="s">
        <v>43</v>
      </c>
      <c r="S537">
        <v>6</v>
      </c>
      <c r="T537">
        <v>12</v>
      </c>
      <c r="U537" t="s">
        <v>68</v>
      </c>
      <c r="V537" t="str">
        <f t="shared" si="8"/>
        <v>Apr-2024</v>
      </c>
      <c r="W537" s="16">
        <f>Table1[[#This Row],[Consultation Date]] - Table1[[#This Row],[Appointment Date]]</f>
        <v>1.4583333333357587</v>
      </c>
    </row>
    <row r="538" spans="1:23" x14ac:dyDescent="0.3">
      <c r="A538" t="s">
        <v>595</v>
      </c>
      <c r="B538">
        <v>19</v>
      </c>
      <c r="C538" t="s">
        <v>33</v>
      </c>
      <c r="D538" s="2">
        <v>44946</v>
      </c>
      <c r="E538" s="2">
        <v>44947</v>
      </c>
      <c r="F538">
        <v>1</v>
      </c>
      <c r="G538" t="s">
        <v>50</v>
      </c>
      <c r="H538">
        <v>4</v>
      </c>
      <c r="I538" t="s">
        <v>46</v>
      </c>
      <c r="J538">
        <v>22157</v>
      </c>
      <c r="K538" t="s">
        <v>67</v>
      </c>
      <c r="L538" t="s">
        <v>54</v>
      </c>
      <c r="M538" t="s">
        <v>27</v>
      </c>
      <c r="N538" s="2">
        <v>44945</v>
      </c>
      <c r="O538" s="2">
        <v>44946.083333333336</v>
      </c>
      <c r="P538" t="s">
        <v>28</v>
      </c>
      <c r="Q538" t="s">
        <v>29</v>
      </c>
      <c r="R538" t="s">
        <v>47</v>
      </c>
      <c r="S538">
        <v>10</v>
      </c>
      <c r="T538">
        <v>10</v>
      </c>
      <c r="U538" t="s">
        <v>48</v>
      </c>
      <c r="V538" t="str">
        <f t="shared" si="8"/>
        <v>Jan-2023</v>
      </c>
      <c r="W538" s="16">
        <f>Table1[[#This Row],[Consultation Date]] - Table1[[#This Row],[Appointment Date]]</f>
        <v>1.0833333333357587</v>
      </c>
    </row>
    <row r="539" spans="1:23" x14ac:dyDescent="0.3">
      <c r="A539" t="s">
        <v>596</v>
      </c>
      <c r="B539">
        <v>76</v>
      </c>
      <c r="C539" t="s">
        <v>33</v>
      </c>
      <c r="D539" s="2">
        <v>44980</v>
      </c>
      <c r="E539" s="2">
        <v>44988</v>
      </c>
      <c r="F539">
        <v>8</v>
      </c>
      <c r="G539" t="s">
        <v>63</v>
      </c>
      <c r="H539">
        <v>3</v>
      </c>
      <c r="I539" t="s">
        <v>46</v>
      </c>
      <c r="J539">
        <v>9460</v>
      </c>
      <c r="K539" t="s">
        <v>67</v>
      </c>
      <c r="L539" t="s">
        <v>26</v>
      </c>
      <c r="M539" t="s">
        <v>27</v>
      </c>
      <c r="N539" s="2">
        <v>44979</v>
      </c>
      <c r="O539" s="2">
        <v>44979.583333333336</v>
      </c>
      <c r="P539" t="s">
        <v>55</v>
      </c>
      <c r="Q539" t="s">
        <v>29</v>
      </c>
      <c r="R539" t="s">
        <v>47</v>
      </c>
      <c r="S539">
        <v>8</v>
      </c>
      <c r="T539">
        <v>12</v>
      </c>
      <c r="U539" t="s">
        <v>31</v>
      </c>
      <c r="V539" t="str">
        <f t="shared" si="8"/>
        <v>Feb-2023</v>
      </c>
      <c r="W539" s="16">
        <f>Table1[[#This Row],[Consultation Date]] - Table1[[#This Row],[Appointment Date]]</f>
        <v>0.58333333333575865</v>
      </c>
    </row>
    <row r="540" spans="1:23" x14ac:dyDescent="0.3">
      <c r="A540" t="s">
        <v>597</v>
      </c>
      <c r="B540">
        <v>9</v>
      </c>
      <c r="C540" t="s">
        <v>41</v>
      </c>
      <c r="D540" s="2">
        <v>45285</v>
      </c>
      <c r="E540" s="2">
        <v>45287</v>
      </c>
      <c r="F540">
        <v>2</v>
      </c>
      <c r="G540" t="s">
        <v>63</v>
      </c>
      <c r="H540">
        <v>1</v>
      </c>
      <c r="I540" t="s">
        <v>71</v>
      </c>
      <c r="J540">
        <v>5352</v>
      </c>
      <c r="K540" t="s">
        <v>25</v>
      </c>
      <c r="L540" t="s">
        <v>54</v>
      </c>
      <c r="M540" t="s">
        <v>41</v>
      </c>
      <c r="N540" s="2">
        <v>45282</v>
      </c>
      <c r="O540" s="2">
        <v>45283.166666666664</v>
      </c>
      <c r="P540" t="s">
        <v>42</v>
      </c>
      <c r="Q540" t="s">
        <v>29</v>
      </c>
      <c r="R540" t="s">
        <v>30</v>
      </c>
      <c r="S540">
        <v>10</v>
      </c>
      <c r="T540">
        <v>10</v>
      </c>
      <c r="U540" t="s">
        <v>48</v>
      </c>
      <c r="V540" t="str">
        <f t="shared" si="8"/>
        <v>Dec-2023</v>
      </c>
      <c r="W540" s="16">
        <f>Table1[[#This Row],[Consultation Date]] - Table1[[#This Row],[Appointment Date]]</f>
        <v>1.1666666666642413</v>
      </c>
    </row>
    <row r="541" spans="1:23" x14ac:dyDescent="0.3">
      <c r="A541" t="s">
        <v>598</v>
      </c>
      <c r="B541">
        <v>71</v>
      </c>
      <c r="C541" t="s">
        <v>33</v>
      </c>
      <c r="D541" s="2">
        <v>45156</v>
      </c>
      <c r="E541" s="2">
        <v>45169</v>
      </c>
      <c r="F541">
        <v>13</v>
      </c>
      <c r="G541" t="s">
        <v>63</v>
      </c>
      <c r="H541">
        <v>3</v>
      </c>
      <c r="I541" t="s">
        <v>46</v>
      </c>
      <c r="J541">
        <v>26586</v>
      </c>
      <c r="K541" t="s">
        <v>25</v>
      </c>
      <c r="L541" t="s">
        <v>54</v>
      </c>
      <c r="M541" t="s">
        <v>27</v>
      </c>
      <c r="N541" s="2">
        <v>45154</v>
      </c>
      <c r="O541" s="2">
        <v>45154.583333333336</v>
      </c>
      <c r="P541" t="s">
        <v>28</v>
      </c>
      <c r="Q541" t="s">
        <v>29</v>
      </c>
      <c r="R541" t="s">
        <v>30</v>
      </c>
      <c r="S541">
        <v>11</v>
      </c>
      <c r="T541">
        <v>12</v>
      </c>
      <c r="U541" t="s">
        <v>31</v>
      </c>
      <c r="V541" t="str">
        <f t="shared" si="8"/>
        <v>Aug-2023</v>
      </c>
      <c r="W541" s="16">
        <f>Table1[[#This Row],[Consultation Date]] - Table1[[#This Row],[Appointment Date]]</f>
        <v>0.58333333333575865</v>
      </c>
    </row>
    <row r="542" spans="1:23" x14ac:dyDescent="0.3">
      <c r="A542" t="s">
        <v>599</v>
      </c>
      <c r="B542">
        <v>28</v>
      </c>
      <c r="C542" t="s">
        <v>41</v>
      </c>
      <c r="D542" s="2">
        <v>45263</v>
      </c>
      <c r="E542" s="2">
        <v>45012</v>
      </c>
      <c r="F542">
        <v>15</v>
      </c>
      <c r="G542" t="s">
        <v>34</v>
      </c>
      <c r="H542">
        <v>2</v>
      </c>
      <c r="I542" t="s">
        <v>35</v>
      </c>
      <c r="J542">
        <v>10344</v>
      </c>
      <c r="K542" t="s">
        <v>53</v>
      </c>
      <c r="L542" t="s">
        <v>26</v>
      </c>
      <c r="M542" t="s">
        <v>27</v>
      </c>
      <c r="N542" s="2">
        <v>45233</v>
      </c>
      <c r="O542" s="2">
        <v>45263.333333333336</v>
      </c>
      <c r="P542" t="s">
        <v>55</v>
      </c>
      <c r="Q542" t="s">
        <v>38</v>
      </c>
      <c r="R542" t="s">
        <v>43</v>
      </c>
      <c r="S542">
        <v>6</v>
      </c>
      <c r="T542">
        <v>12</v>
      </c>
      <c r="U542" t="s">
        <v>68</v>
      </c>
      <c r="V542" t="str">
        <f t="shared" si="8"/>
        <v>Dec-2023</v>
      </c>
      <c r="W542" s="16">
        <f>Table1[[#This Row],[Consultation Date]] - Table1[[#This Row],[Appointment Date]]</f>
        <v>30.333333333335759</v>
      </c>
    </row>
    <row r="543" spans="1:23" x14ac:dyDescent="0.3">
      <c r="A543" t="s">
        <v>600</v>
      </c>
      <c r="B543">
        <v>78</v>
      </c>
      <c r="C543" t="s">
        <v>22</v>
      </c>
      <c r="D543" s="2">
        <v>45232</v>
      </c>
      <c r="E543" s="2">
        <v>44982</v>
      </c>
      <c r="F543">
        <v>14</v>
      </c>
      <c r="G543" t="s">
        <v>40</v>
      </c>
      <c r="H543">
        <v>2</v>
      </c>
      <c r="I543" t="s">
        <v>46</v>
      </c>
      <c r="J543">
        <v>9507</v>
      </c>
      <c r="K543" t="s">
        <v>25</v>
      </c>
      <c r="L543" t="s">
        <v>26</v>
      </c>
      <c r="M543" t="s">
        <v>27</v>
      </c>
      <c r="N543" s="2">
        <v>45232</v>
      </c>
      <c r="O543" s="2">
        <v>45232.75</v>
      </c>
      <c r="P543" t="s">
        <v>64</v>
      </c>
      <c r="Q543" t="s">
        <v>29</v>
      </c>
      <c r="R543" t="s">
        <v>30</v>
      </c>
      <c r="S543">
        <v>9</v>
      </c>
      <c r="T543">
        <v>10</v>
      </c>
      <c r="U543" t="s">
        <v>48</v>
      </c>
      <c r="V543" t="str">
        <f t="shared" si="8"/>
        <v>Nov-2023</v>
      </c>
      <c r="W543" s="16">
        <f>Table1[[#This Row],[Consultation Date]] - Table1[[#This Row],[Appointment Date]]</f>
        <v>0.75</v>
      </c>
    </row>
    <row r="544" spans="1:23" x14ac:dyDescent="0.3">
      <c r="A544" t="s">
        <v>601</v>
      </c>
      <c r="B544">
        <v>52</v>
      </c>
      <c r="C544" t="s">
        <v>41</v>
      </c>
      <c r="D544" s="2">
        <v>44928</v>
      </c>
      <c r="E544" s="2">
        <v>45109</v>
      </c>
      <c r="F544">
        <v>6</v>
      </c>
      <c r="G544" t="s">
        <v>50</v>
      </c>
      <c r="H544">
        <v>3</v>
      </c>
      <c r="I544" t="s">
        <v>71</v>
      </c>
      <c r="J544">
        <v>42598</v>
      </c>
      <c r="K544" t="s">
        <v>67</v>
      </c>
      <c r="L544" t="s">
        <v>54</v>
      </c>
      <c r="M544" t="s">
        <v>27</v>
      </c>
      <c r="N544" s="2">
        <v>44956</v>
      </c>
      <c r="O544" s="2">
        <v>44956.875</v>
      </c>
      <c r="P544" t="s">
        <v>42</v>
      </c>
      <c r="Q544" t="s">
        <v>29</v>
      </c>
      <c r="R544" t="s">
        <v>30</v>
      </c>
      <c r="S544">
        <v>5</v>
      </c>
      <c r="T544">
        <v>10</v>
      </c>
      <c r="U544" t="s">
        <v>48</v>
      </c>
      <c r="V544" t="str">
        <f t="shared" si="8"/>
        <v>Jan-2023</v>
      </c>
      <c r="W544" s="16">
        <f>Table1[[#This Row],[Consultation Date]] - Table1[[#This Row],[Appointment Date]]</f>
        <v>0.875</v>
      </c>
    </row>
    <row r="545" spans="1:23" x14ac:dyDescent="0.3">
      <c r="A545" t="s">
        <v>602</v>
      </c>
      <c r="B545">
        <v>83</v>
      </c>
      <c r="C545" t="s">
        <v>62</v>
      </c>
      <c r="D545" s="2">
        <v>45239</v>
      </c>
      <c r="E545" s="2">
        <v>45192</v>
      </c>
      <c r="F545">
        <v>12</v>
      </c>
      <c r="G545" t="s">
        <v>57</v>
      </c>
      <c r="H545">
        <v>4</v>
      </c>
      <c r="I545" t="s">
        <v>66</v>
      </c>
      <c r="J545">
        <v>48988</v>
      </c>
      <c r="K545" t="s">
        <v>25</v>
      </c>
      <c r="L545" t="s">
        <v>54</v>
      </c>
      <c r="M545" t="s">
        <v>41</v>
      </c>
      <c r="N545" s="2">
        <v>45147</v>
      </c>
      <c r="O545" s="2">
        <v>45147.791666666664</v>
      </c>
      <c r="P545" t="s">
        <v>28</v>
      </c>
      <c r="Q545" t="s">
        <v>29</v>
      </c>
      <c r="R545" t="s">
        <v>30</v>
      </c>
      <c r="S545">
        <v>11</v>
      </c>
      <c r="T545">
        <v>10</v>
      </c>
      <c r="U545" t="s">
        <v>31</v>
      </c>
      <c r="V545" t="str">
        <f t="shared" si="8"/>
        <v>Nov-2023</v>
      </c>
      <c r="W545" s="16">
        <f>Table1[[#This Row],[Consultation Date]] - Table1[[#This Row],[Appointment Date]]</f>
        <v>0.79166666666424135</v>
      </c>
    </row>
    <row r="546" spans="1:23" x14ac:dyDescent="0.3">
      <c r="A546" t="s">
        <v>603</v>
      </c>
      <c r="B546">
        <v>16</v>
      </c>
      <c r="C546" t="s">
        <v>33</v>
      </c>
      <c r="D546" s="2">
        <v>45131</v>
      </c>
      <c r="E546" s="2">
        <v>45133</v>
      </c>
      <c r="F546">
        <v>2</v>
      </c>
      <c r="G546" t="s">
        <v>57</v>
      </c>
      <c r="H546">
        <v>2</v>
      </c>
      <c r="I546" t="s">
        <v>66</v>
      </c>
      <c r="J546">
        <v>37885</v>
      </c>
      <c r="K546" t="s">
        <v>36</v>
      </c>
      <c r="L546" t="s">
        <v>54</v>
      </c>
      <c r="M546" t="s">
        <v>27</v>
      </c>
      <c r="N546" s="2">
        <v>45130</v>
      </c>
      <c r="O546" s="2">
        <v>45130.916666666664</v>
      </c>
      <c r="P546" t="s">
        <v>64</v>
      </c>
      <c r="Q546" t="s">
        <v>29</v>
      </c>
      <c r="R546" t="s">
        <v>30</v>
      </c>
      <c r="S546">
        <v>6</v>
      </c>
      <c r="T546">
        <v>10</v>
      </c>
      <c r="U546" t="s">
        <v>48</v>
      </c>
      <c r="V546" t="str">
        <f t="shared" si="8"/>
        <v>Jul-2023</v>
      </c>
      <c r="W546" s="16">
        <f>Table1[[#This Row],[Consultation Date]] - Table1[[#This Row],[Appointment Date]]</f>
        <v>0.91666666666424135</v>
      </c>
    </row>
    <row r="547" spans="1:23" x14ac:dyDescent="0.3">
      <c r="A547" t="s">
        <v>604</v>
      </c>
      <c r="B547">
        <v>69</v>
      </c>
      <c r="C547" t="s">
        <v>41</v>
      </c>
      <c r="D547" s="2">
        <v>44947</v>
      </c>
      <c r="E547" s="2">
        <v>44956</v>
      </c>
      <c r="F547">
        <v>9</v>
      </c>
      <c r="G547" t="s">
        <v>40</v>
      </c>
      <c r="H547">
        <v>3</v>
      </c>
      <c r="I547" t="s">
        <v>46</v>
      </c>
      <c r="J547">
        <v>21865</v>
      </c>
      <c r="K547" t="s">
        <v>25</v>
      </c>
      <c r="L547" t="s">
        <v>26</v>
      </c>
      <c r="M547" t="s">
        <v>27</v>
      </c>
      <c r="N547" s="2">
        <v>44944</v>
      </c>
      <c r="O547" s="2">
        <v>44945.5</v>
      </c>
      <c r="P547" t="s">
        <v>55</v>
      </c>
      <c r="Q547" t="s">
        <v>29</v>
      </c>
      <c r="R547" t="s">
        <v>30</v>
      </c>
      <c r="S547">
        <v>9</v>
      </c>
      <c r="T547">
        <v>10</v>
      </c>
      <c r="U547" t="s">
        <v>68</v>
      </c>
      <c r="V547" t="str">
        <f t="shared" si="8"/>
        <v>Jan-2023</v>
      </c>
      <c r="W547" s="16">
        <f>Table1[[#This Row],[Consultation Date]] - Table1[[#This Row],[Appointment Date]]</f>
        <v>1.5</v>
      </c>
    </row>
    <row r="548" spans="1:23" x14ac:dyDescent="0.3">
      <c r="A548" t="s">
        <v>605</v>
      </c>
      <c r="B548">
        <v>12</v>
      </c>
      <c r="C548" t="s">
        <v>41</v>
      </c>
      <c r="D548" s="2">
        <v>45083</v>
      </c>
      <c r="E548" s="2">
        <v>45094</v>
      </c>
      <c r="F548">
        <v>11</v>
      </c>
      <c r="G548" t="s">
        <v>63</v>
      </c>
      <c r="H548">
        <v>1</v>
      </c>
      <c r="I548" t="s">
        <v>24</v>
      </c>
      <c r="J548">
        <v>42055</v>
      </c>
      <c r="K548" t="s">
        <v>67</v>
      </c>
      <c r="L548" t="s">
        <v>26</v>
      </c>
      <c r="M548" t="s">
        <v>27</v>
      </c>
      <c r="N548" s="2">
        <v>45022</v>
      </c>
      <c r="O548" s="2">
        <v>45052.541666666664</v>
      </c>
      <c r="P548" t="s">
        <v>28</v>
      </c>
      <c r="Q548" t="s">
        <v>29</v>
      </c>
      <c r="R548" t="s">
        <v>43</v>
      </c>
      <c r="S548">
        <v>6</v>
      </c>
      <c r="T548">
        <v>10</v>
      </c>
      <c r="U548" t="s">
        <v>48</v>
      </c>
      <c r="V548" t="str">
        <f t="shared" si="8"/>
        <v>Jun-2023</v>
      </c>
      <c r="W548" s="16">
        <f>Table1[[#This Row],[Consultation Date]] - Table1[[#This Row],[Appointment Date]]</f>
        <v>30.541666666664241</v>
      </c>
    </row>
    <row r="549" spans="1:23" x14ac:dyDescent="0.3">
      <c r="A549" t="s">
        <v>606</v>
      </c>
      <c r="B549">
        <v>25</v>
      </c>
      <c r="C549" t="s">
        <v>33</v>
      </c>
      <c r="D549" s="2">
        <v>44966</v>
      </c>
      <c r="E549" s="2">
        <v>45055</v>
      </c>
      <c r="F549">
        <v>3</v>
      </c>
      <c r="G549" t="s">
        <v>50</v>
      </c>
      <c r="H549">
        <v>3</v>
      </c>
      <c r="I549" t="s">
        <v>66</v>
      </c>
      <c r="J549">
        <v>32213</v>
      </c>
      <c r="K549" t="s">
        <v>53</v>
      </c>
      <c r="L549" t="s">
        <v>26</v>
      </c>
      <c r="M549" t="s">
        <v>41</v>
      </c>
      <c r="N549" s="2">
        <v>45169</v>
      </c>
      <c r="O549" s="2">
        <v>45169.375</v>
      </c>
      <c r="P549" t="s">
        <v>28</v>
      </c>
      <c r="Q549" t="s">
        <v>29</v>
      </c>
      <c r="R549" t="s">
        <v>43</v>
      </c>
      <c r="S549">
        <v>9</v>
      </c>
      <c r="T549">
        <v>10</v>
      </c>
      <c r="U549" t="s">
        <v>48</v>
      </c>
      <c r="V549" t="str">
        <f t="shared" si="8"/>
        <v>Feb-2023</v>
      </c>
      <c r="W549" s="16">
        <f>Table1[[#This Row],[Consultation Date]] - Table1[[#This Row],[Appointment Date]]</f>
        <v>0.375</v>
      </c>
    </row>
    <row r="550" spans="1:23" x14ac:dyDescent="0.3">
      <c r="A550" t="s">
        <v>607</v>
      </c>
      <c r="B550">
        <v>52</v>
      </c>
      <c r="C550" t="s">
        <v>22</v>
      </c>
      <c r="D550" s="2">
        <v>45204</v>
      </c>
      <c r="E550" s="2">
        <v>45235</v>
      </c>
      <c r="F550">
        <v>1</v>
      </c>
      <c r="G550" t="s">
        <v>57</v>
      </c>
      <c r="H550">
        <v>3</v>
      </c>
      <c r="I550" t="s">
        <v>46</v>
      </c>
      <c r="J550">
        <v>9477</v>
      </c>
      <c r="K550" t="s">
        <v>60</v>
      </c>
      <c r="L550" t="s">
        <v>26</v>
      </c>
      <c r="M550" t="s">
        <v>41</v>
      </c>
      <c r="N550" s="2">
        <v>45143</v>
      </c>
      <c r="O550" s="2">
        <v>45174.541666666664</v>
      </c>
      <c r="P550" t="s">
        <v>64</v>
      </c>
      <c r="Q550" t="s">
        <v>38</v>
      </c>
      <c r="R550" t="s">
        <v>30</v>
      </c>
      <c r="S550">
        <v>8</v>
      </c>
      <c r="T550">
        <v>10</v>
      </c>
      <c r="U550" t="s">
        <v>31</v>
      </c>
      <c r="V550" t="str">
        <f t="shared" si="8"/>
        <v>Oct-2023</v>
      </c>
      <c r="W550" s="16">
        <f>Table1[[#This Row],[Consultation Date]] - Table1[[#This Row],[Appointment Date]]</f>
        <v>31.541666666664241</v>
      </c>
    </row>
    <row r="551" spans="1:23" x14ac:dyDescent="0.3">
      <c r="A551" t="s">
        <v>608</v>
      </c>
      <c r="B551">
        <v>85</v>
      </c>
      <c r="C551" t="s">
        <v>22</v>
      </c>
      <c r="D551" s="2">
        <v>45411</v>
      </c>
      <c r="E551" s="2">
        <v>45356</v>
      </c>
      <c r="F551">
        <v>4</v>
      </c>
      <c r="G551" t="s">
        <v>23</v>
      </c>
      <c r="H551">
        <v>5</v>
      </c>
      <c r="I551" t="s">
        <v>71</v>
      </c>
      <c r="J551">
        <v>11533</v>
      </c>
      <c r="K551" t="s">
        <v>25</v>
      </c>
      <c r="L551" t="s">
        <v>54</v>
      </c>
      <c r="M551" t="s">
        <v>41</v>
      </c>
      <c r="N551" s="2">
        <v>45407</v>
      </c>
      <c r="O551" s="2">
        <v>45408.333333333336</v>
      </c>
      <c r="P551" t="s">
        <v>28</v>
      </c>
      <c r="Q551" t="s">
        <v>29</v>
      </c>
      <c r="R551" t="s">
        <v>30</v>
      </c>
      <c r="S551">
        <v>4</v>
      </c>
      <c r="T551">
        <v>12</v>
      </c>
      <c r="U551" t="s">
        <v>48</v>
      </c>
      <c r="V551" t="str">
        <f t="shared" si="8"/>
        <v>Apr-2024</v>
      </c>
      <c r="W551" s="16">
        <f>Table1[[#This Row],[Consultation Date]] - Table1[[#This Row],[Appointment Date]]</f>
        <v>1.3333333333357587</v>
      </c>
    </row>
    <row r="552" spans="1:23" x14ac:dyDescent="0.3">
      <c r="A552" t="s">
        <v>609</v>
      </c>
      <c r="B552">
        <v>53</v>
      </c>
      <c r="C552" t="s">
        <v>33</v>
      </c>
      <c r="D552" s="2">
        <v>45044</v>
      </c>
      <c r="E552" s="2">
        <v>45204</v>
      </c>
      <c r="F552">
        <v>12</v>
      </c>
      <c r="G552" t="s">
        <v>57</v>
      </c>
      <c r="H552">
        <v>2</v>
      </c>
      <c r="I552" t="s">
        <v>46</v>
      </c>
      <c r="J552">
        <v>28396</v>
      </c>
      <c r="K552" t="s">
        <v>67</v>
      </c>
      <c r="L552" t="s">
        <v>26</v>
      </c>
      <c r="M552" t="s">
        <v>41</v>
      </c>
      <c r="N552" s="2">
        <v>45039</v>
      </c>
      <c r="O552" s="2">
        <v>45039.916666666664</v>
      </c>
      <c r="P552" t="s">
        <v>37</v>
      </c>
      <c r="Q552" t="s">
        <v>29</v>
      </c>
      <c r="R552" t="s">
        <v>43</v>
      </c>
      <c r="S552">
        <v>7</v>
      </c>
      <c r="T552">
        <v>10</v>
      </c>
      <c r="U552" t="s">
        <v>31</v>
      </c>
      <c r="V552" t="str">
        <f t="shared" si="8"/>
        <v>Apr-2023</v>
      </c>
      <c r="W552" s="16">
        <f>Table1[[#This Row],[Consultation Date]] - Table1[[#This Row],[Appointment Date]]</f>
        <v>0.91666666666424135</v>
      </c>
    </row>
    <row r="553" spans="1:23" x14ac:dyDescent="0.3">
      <c r="A553" t="s">
        <v>610</v>
      </c>
      <c r="B553">
        <v>23</v>
      </c>
      <c r="C553" t="s">
        <v>52</v>
      </c>
      <c r="D553" s="2">
        <v>45268</v>
      </c>
      <c r="E553" s="2">
        <v>45158</v>
      </c>
      <c r="F553">
        <v>8</v>
      </c>
      <c r="G553" t="s">
        <v>63</v>
      </c>
      <c r="H553">
        <v>4</v>
      </c>
      <c r="I553" t="s">
        <v>66</v>
      </c>
      <c r="J553">
        <v>17755</v>
      </c>
      <c r="K553" t="s">
        <v>60</v>
      </c>
      <c r="L553" t="s">
        <v>54</v>
      </c>
      <c r="M553" t="s">
        <v>27</v>
      </c>
      <c r="N553" s="2">
        <v>45146</v>
      </c>
      <c r="O553" s="2">
        <v>45177.833333333336</v>
      </c>
      <c r="P553" t="s">
        <v>28</v>
      </c>
      <c r="Q553" t="s">
        <v>29</v>
      </c>
      <c r="R553" t="s">
        <v>47</v>
      </c>
      <c r="S553">
        <v>11</v>
      </c>
      <c r="T553">
        <v>10</v>
      </c>
      <c r="U553" t="s">
        <v>31</v>
      </c>
      <c r="V553" t="str">
        <f t="shared" si="8"/>
        <v>Dec-2023</v>
      </c>
      <c r="W553" s="16">
        <f>Table1[[#This Row],[Consultation Date]] - Table1[[#This Row],[Appointment Date]]</f>
        <v>31.833333333335759</v>
      </c>
    </row>
    <row r="554" spans="1:23" x14ac:dyDescent="0.3">
      <c r="A554" t="s">
        <v>611</v>
      </c>
      <c r="B554">
        <v>16</v>
      </c>
      <c r="C554" t="s">
        <v>33</v>
      </c>
      <c r="D554" s="2">
        <v>45403</v>
      </c>
      <c r="E554" s="2">
        <v>45411</v>
      </c>
      <c r="F554">
        <v>8</v>
      </c>
      <c r="G554" t="s">
        <v>23</v>
      </c>
      <c r="H554">
        <v>4</v>
      </c>
      <c r="I554" t="s">
        <v>71</v>
      </c>
      <c r="J554">
        <v>5865</v>
      </c>
      <c r="K554" t="s">
        <v>60</v>
      </c>
      <c r="L554" t="s">
        <v>54</v>
      </c>
      <c r="M554" t="s">
        <v>27</v>
      </c>
      <c r="N554" s="2">
        <v>45403</v>
      </c>
      <c r="O554" s="2">
        <v>45403.166666666664</v>
      </c>
      <c r="P554" t="s">
        <v>42</v>
      </c>
      <c r="Q554" t="s">
        <v>29</v>
      </c>
      <c r="R554" t="s">
        <v>43</v>
      </c>
      <c r="S554">
        <v>6</v>
      </c>
      <c r="T554">
        <v>12</v>
      </c>
      <c r="U554" t="s">
        <v>48</v>
      </c>
      <c r="V554" t="str">
        <f t="shared" si="8"/>
        <v>Apr-2024</v>
      </c>
      <c r="W554" s="16">
        <f>Table1[[#This Row],[Consultation Date]] - Table1[[#This Row],[Appointment Date]]</f>
        <v>0.16666666666424135</v>
      </c>
    </row>
    <row r="555" spans="1:23" x14ac:dyDescent="0.3">
      <c r="A555" t="s">
        <v>612</v>
      </c>
      <c r="B555">
        <v>57</v>
      </c>
      <c r="C555" t="s">
        <v>33</v>
      </c>
      <c r="D555" s="2">
        <v>45189</v>
      </c>
      <c r="E555" s="2">
        <v>45198</v>
      </c>
      <c r="F555">
        <v>9</v>
      </c>
      <c r="G555" t="s">
        <v>40</v>
      </c>
      <c r="H555">
        <v>5</v>
      </c>
      <c r="I555" t="s">
        <v>46</v>
      </c>
      <c r="J555">
        <v>16173</v>
      </c>
      <c r="K555" t="s">
        <v>36</v>
      </c>
      <c r="L555" t="s">
        <v>54</v>
      </c>
      <c r="M555" t="s">
        <v>27</v>
      </c>
      <c r="N555" s="2">
        <v>45187</v>
      </c>
      <c r="O555" s="2">
        <v>45187.125</v>
      </c>
      <c r="P555" t="s">
        <v>64</v>
      </c>
      <c r="Q555" t="s">
        <v>29</v>
      </c>
      <c r="R555" t="s">
        <v>47</v>
      </c>
      <c r="S555">
        <v>7</v>
      </c>
      <c r="T555">
        <v>12</v>
      </c>
      <c r="U555" t="s">
        <v>68</v>
      </c>
      <c r="V555" t="str">
        <f t="shared" si="8"/>
        <v>Sep-2023</v>
      </c>
      <c r="W555" s="16">
        <f>Table1[[#This Row],[Consultation Date]] - Table1[[#This Row],[Appointment Date]]</f>
        <v>0.125</v>
      </c>
    </row>
    <row r="556" spans="1:23" x14ac:dyDescent="0.3">
      <c r="A556" t="s">
        <v>613</v>
      </c>
      <c r="B556">
        <v>39</v>
      </c>
      <c r="C556" t="s">
        <v>22</v>
      </c>
      <c r="D556" s="2">
        <v>45304</v>
      </c>
      <c r="E556" s="2">
        <v>45313</v>
      </c>
      <c r="F556">
        <v>9</v>
      </c>
      <c r="G556" t="s">
        <v>50</v>
      </c>
      <c r="H556">
        <v>4</v>
      </c>
      <c r="I556" t="s">
        <v>35</v>
      </c>
      <c r="J556">
        <v>43097</v>
      </c>
      <c r="K556" t="s">
        <v>60</v>
      </c>
      <c r="L556" t="s">
        <v>26</v>
      </c>
      <c r="M556" t="s">
        <v>27</v>
      </c>
      <c r="N556" s="2">
        <v>45505</v>
      </c>
      <c r="O556" s="2">
        <v>45505.291666666664</v>
      </c>
      <c r="P556" t="s">
        <v>42</v>
      </c>
      <c r="Q556" t="s">
        <v>29</v>
      </c>
      <c r="R556" t="s">
        <v>30</v>
      </c>
      <c r="S556">
        <v>6</v>
      </c>
      <c r="T556">
        <v>8</v>
      </c>
      <c r="U556" t="s">
        <v>31</v>
      </c>
      <c r="V556" t="str">
        <f t="shared" si="8"/>
        <v>Jan-2024</v>
      </c>
      <c r="W556" s="16">
        <f>Table1[[#This Row],[Consultation Date]] - Table1[[#This Row],[Appointment Date]]</f>
        <v>0.29166666666424135</v>
      </c>
    </row>
    <row r="557" spans="1:23" x14ac:dyDescent="0.3">
      <c r="A557" t="s">
        <v>614</v>
      </c>
      <c r="B557">
        <v>53</v>
      </c>
      <c r="C557" t="s">
        <v>22</v>
      </c>
      <c r="D557" s="2">
        <v>45098</v>
      </c>
      <c r="E557" s="2">
        <v>44933</v>
      </c>
      <c r="F557">
        <v>10</v>
      </c>
      <c r="G557" t="s">
        <v>40</v>
      </c>
      <c r="H557">
        <v>3</v>
      </c>
      <c r="I557" t="s">
        <v>71</v>
      </c>
      <c r="J557">
        <v>38371</v>
      </c>
      <c r="K557" t="s">
        <v>67</v>
      </c>
      <c r="L557" t="s">
        <v>26</v>
      </c>
      <c r="M557" t="s">
        <v>27</v>
      </c>
      <c r="N557" s="2">
        <v>45096</v>
      </c>
      <c r="O557" s="2">
        <v>45097.708333333336</v>
      </c>
      <c r="P557" t="s">
        <v>55</v>
      </c>
      <c r="Q557" t="s">
        <v>29</v>
      </c>
      <c r="R557" t="s">
        <v>30</v>
      </c>
      <c r="S557">
        <v>8</v>
      </c>
      <c r="T557">
        <v>8</v>
      </c>
      <c r="U557" t="s">
        <v>48</v>
      </c>
      <c r="V557" t="str">
        <f t="shared" si="8"/>
        <v>Jun-2023</v>
      </c>
      <c r="W557" s="16">
        <f>Table1[[#This Row],[Consultation Date]] - Table1[[#This Row],[Appointment Date]]</f>
        <v>1.7083333333357587</v>
      </c>
    </row>
    <row r="558" spans="1:23" x14ac:dyDescent="0.3">
      <c r="A558" t="s">
        <v>615</v>
      </c>
      <c r="B558">
        <v>42</v>
      </c>
      <c r="C558" t="s">
        <v>33</v>
      </c>
      <c r="D558" s="2">
        <v>45044</v>
      </c>
      <c r="E558" s="2">
        <v>44931</v>
      </c>
      <c r="F558">
        <v>3</v>
      </c>
      <c r="G558" t="s">
        <v>40</v>
      </c>
      <c r="H558">
        <v>5</v>
      </c>
      <c r="I558" t="s">
        <v>35</v>
      </c>
      <c r="J558">
        <v>43524</v>
      </c>
      <c r="K558" t="s">
        <v>67</v>
      </c>
      <c r="L558" t="s">
        <v>54</v>
      </c>
      <c r="M558" t="s">
        <v>41</v>
      </c>
      <c r="N558" s="2">
        <v>45039</v>
      </c>
      <c r="O558" s="2">
        <v>45040.25</v>
      </c>
      <c r="P558" t="s">
        <v>42</v>
      </c>
      <c r="Q558" t="s">
        <v>29</v>
      </c>
      <c r="R558" t="s">
        <v>43</v>
      </c>
      <c r="S558">
        <v>8</v>
      </c>
      <c r="T558">
        <v>10</v>
      </c>
      <c r="U558" t="s">
        <v>31</v>
      </c>
      <c r="V558" t="str">
        <f t="shared" si="8"/>
        <v>Apr-2023</v>
      </c>
      <c r="W558" s="16">
        <f>Table1[[#This Row],[Consultation Date]] - Table1[[#This Row],[Appointment Date]]</f>
        <v>1.25</v>
      </c>
    </row>
    <row r="559" spans="1:23" x14ac:dyDescent="0.3">
      <c r="A559" t="s">
        <v>616</v>
      </c>
      <c r="B559">
        <v>58</v>
      </c>
      <c r="C559" t="s">
        <v>33</v>
      </c>
      <c r="D559" s="2">
        <v>45094</v>
      </c>
      <c r="E559" s="2">
        <v>45100</v>
      </c>
      <c r="F559">
        <v>6</v>
      </c>
      <c r="G559" t="s">
        <v>50</v>
      </c>
      <c r="H559">
        <v>1</v>
      </c>
      <c r="I559" t="s">
        <v>24</v>
      </c>
      <c r="J559">
        <v>16254</v>
      </c>
      <c r="K559" t="s">
        <v>25</v>
      </c>
      <c r="L559" t="s">
        <v>26</v>
      </c>
      <c r="M559" t="s">
        <v>27</v>
      </c>
      <c r="N559" s="2">
        <v>45093</v>
      </c>
      <c r="O559" s="2">
        <v>45093.083333333336</v>
      </c>
      <c r="P559" t="s">
        <v>37</v>
      </c>
      <c r="Q559" t="s">
        <v>29</v>
      </c>
      <c r="R559" t="s">
        <v>30</v>
      </c>
      <c r="S559">
        <v>9</v>
      </c>
      <c r="T559">
        <v>10</v>
      </c>
      <c r="U559" t="s">
        <v>68</v>
      </c>
      <c r="V559" t="str">
        <f t="shared" si="8"/>
        <v>Jun-2023</v>
      </c>
      <c r="W559" s="16">
        <f>Table1[[#This Row],[Consultation Date]] - Table1[[#This Row],[Appointment Date]]</f>
        <v>8.3333333335758653E-2</v>
      </c>
    </row>
    <row r="560" spans="1:23" x14ac:dyDescent="0.3">
      <c r="A560" t="s">
        <v>617</v>
      </c>
      <c r="B560">
        <v>39</v>
      </c>
      <c r="C560" t="s">
        <v>33</v>
      </c>
      <c r="D560" s="2">
        <v>45245</v>
      </c>
      <c r="E560" s="2">
        <v>45251</v>
      </c>
      <c r="F560">
        <v>6</v>
      </c>
      <c r="G560" t="s">
        <v>50</v>
      </c>
      <c r="H560">
        <v>2</v>
      </c>
      <c r="I560" t="s">
        <v>71</v>
      </c>
      <c r="J560">
        <v>9018</v>
      </c>
      <c r="K560" t="s">
        <v>25</v>
      </c>
      <c r="L560" t="s">
        <v>26</v>
      </c>
      <c r="M560" t="s">
        <v>27</v>
      </c>
      <c r="N560" s="2">
        <v>45245</v>
      </c>
      <c r="O560" s="2">
        <v>45245.333333333336</v>
      </c>
      <c r="P560" t="s">
        <v>37</v>
      </c>
      <c r="Q560" t="s">
        <v>38</v>
      </c>
      <c r="R560" t="s">
        <v>47</v>
      </c>
      <c r="S560">
        <v>6</v>
      </c>
      <c r="T560">
        <v>8</v>
      </c>
      <c r="U560" t="s">
        <v>68</v>
      </c>
      <c r="V560" t="str">
        <f t="shared" si="8"/>
        <v>Nov-2023</v>
      </c>
      <c r="W560" s="16">
        <f>Table1[[#This Row],[Consultation Date]] - Table1[[#This Row],[Appointment Date]]</f>
        <v>0.33333333333575865</v>
      </c>
    </row>
    <row r="561" spans="1:23" x14ac:dyDescent="0.3">
      <c r="A561" t="s">
        <v>618</v>
      </c>
      <c r="B561">
        <v>14</v>
      </c>
      <c r="C561" t="s">
        <v>22</v>
      </c>
      <c r="D561" s="2">
        <v>45037</v>
      </c>
      <c r="E561" s="2">
        <v>45082</v>
      </c>
      <c r="F561">
        <v>15</v>
      </c>
      <c r="G561" t="s">
        <v>57</v>
      </c>
      <c r="H561">
        <v>2</v>
      </c>
      <c r="I561" t="s">
        <v>35</v>
      </c>
      <c r="J561">
        <v>10192</v>
      </c>
      <c r="K561" t="s">
        <v>25</v>
      </c>
      <c r="L561" t="s">
        <v>54</v>
      </c>
      <c r="M561" t="s">
        <v>41</v>
      </c>
      <c r="N561" s="2">
        <v>45032</v>
      </c>
      <c r="O561" s="2">
        <v>45032.458333333336</v>
      </c>
      <c r="P561" t="s">
        <v>42</v>
      </c>
      <c r="Q561" t="s">
        <v>29</v>
      </c>
      <c r="R561" t="s">
        <v>47</v>
      </c>
      <c r="S561">
        <v>8</v>
      </c>
      <c r="T561">
        <v>8</v>
      </c>
      <c r="U561" t="s">
        <v>31</v>
      </c>
      <c r="V561" t="str">
        <f t="shared" si="8"/>
        <v>Apr-2023</v>
      </c>
      <c r="W561" s="16">
        <f>Table1[[#This Row],[Consultation Date]] - Table1[[#This Row],[Appointment Date]]</f>
        <v>0.45833333333575865</v>
      </c>
    </row>
    <row r="562" spans="1:23" x14ac:dyDescent="0.3">
      <c r="A562" t="s">
        <v>619</v>
      </c>
      <c r="B562">
        <v>5</v>
      </c>
      <c r="C562" t="s">
        <v>33</v>
      </c>
      <c r="D562" s="2">
        <v>44953</v>
      </c>
      <c r="E562" s="2">
        <v>44928</v>
      </c>
      <c r="F562">
        <v>5</v>
      </c>
      <c r="G562" t="s">
        <v>57</v>
      </c>
      <c r="H562">
        <v>2</v>
      </c>
      <c r="I562" t="s">
        <v>66</v>
      </c>
      <c r="J562">
        <v>7015</v>
      </c>
      <c r="K562" t="s">
        <v>60</v>
      </c>
      <c r="L562" t="s">
        <v>54</v>
      </c>
      <c r="M562" t="s">
        <v>41</v>
      </c>
      <c r="N562" s="2">
        <v>44953</v>
      </c>
      <c r="O562" s="2">
        <v>44954.208333333336</v>
      </c>
      <c r="P562" t="s">
        <v>55</v>
      </c>
      <c r="Q562" t="s">
        <v>29</v>
      </c>
      <c r="R562" t="s">
        <v>43</v>
      </c>
      <c r="S562">
        <v>8</v>
      </c>
      <c r="T562">
        <v>10</v>
      </c>
      <c r="U562" t="s">
        <v>68</v>
      </c>
      <c r="V562" t="str">
        <f t="shared" si="8"/>
        <v>Jan-2023</v>
      </c>
      <c r="W562" s="16">
        <f>Table1[[#This Row],[Consultation Date]] - Table1[[#This Row],[Appointment Date]]</f>
        <v>1.2083333333357587</v>
      </c>
    </row>
    <row r="563" spans="1:23" x14ac:dyDescent="0.3">
      <c r="A563" t="s">
        <v>620</v>
      </c>
      <c r="B563">
        <v>35</v>
      </c>
      <c r="C563" t="s">
        <v>33</v>
      </c>
      <c r="D563" s="2">
        <v>45246</v>
      </c>
      <c r="E563" s="2">
        <v>45253</v>
      </c>
      <c r="F563">
        <v>7</v>
      </c>
      <c r="G563" t="s">
        <v>50</v>
      </c>
      <c r="H563">
        <v>3</v>
      </c>
      <c r="I563" t="s">
        <v>66</v>
      </c>
      <c r="J563">
        <v>47618</v>
      </c>
      <c r="K563" t="s">
        <v>60</v>
      </c>
      <c r="L563" t="s">
        <v>26</v>
      </c>
      <c r="M563" t="s">
        <v>27</v>
      </c>
      <c r="N563" s="2">
        <v>45243</v>
      </c>
      <c r="O563" s="2">
        <v>45244.25</v>
      </c>
      <c r="P563" t="s">
        <v>28</v>
      </c>
      <c r="Q563" t="s">
        <v>29</v>
      </c>
      <c r="R563" t="s">
        <v>47</v>
      </c>
      <c r="S563">
        <v>6</v>
      </c>
      <c r="T563">
        <v>8</v>
      </c>
      <c r="U563" t="s">
        <v>48</v>
      </c>
      <c r="V563" t="str">
        <f t="shared" si="8"/>
        <v>Nov-2023</v>
      </c>
      <c r="W563" s="16">
        <f>Table1[[#This Row],[Consultation Date]] - Table1[[#This Row],[Appointment Date]]</f>
        <v>1.25</v>
      </c>
    </row>
    <row r="564" spans="1:23" x14ac:dyDescent="0.3">
      <c r="A564" t="s">
        <v>621</v>
      </c>
      <c r="B564">
        <v>87</v>
      </c>
      <c r="C564" t="s">
        <v>45</v>
      </c>
      <c r="D564" s="2">
        <v>45311</v>
      </c>
      <c r="E564" s="2">
        <v>45318</v>
      </c>
      <c r="F564">
        <v>7</v>
      </c>
      <c r="G564" t="s">
        <v>23</v>
      </c>
      <c r="H564">
        <v>1</v>
      </c>
      <c r="I564" t="s">
        <v>24</v>
      </c>
      <c r="J564">
        <v>8380</v>
      </c>
      <c r="K564" t="s">
        <v>36</v>
      </c>
      <c r="L564" t="s">
        <v>54</v>
      </c>
      <c r="M564" t="s">
        <v>27</v>
      </c>
      <c r="N564" s="2">
        <v>45309</v>
      </c>
      <c r="O564" s="2">
        <v>45309.041666666664</v>
      </c>
      <c r="P564" t="s">
        <v>37</v>
      </c>
      <c r="Q564" t="s">
        <v>29</v>
      </c>
      <c r="R564" t="s">
        <v>43</v>
      </c>
      <c r="S564">
        <v>9</v>
      </c>
      <c r="T564">
        <v>10</v>
      </c>
      <c r="U564" t="s">
        <v>48</v>
      </c>
      <c r="V564" t="str">
        <f t="shared" si="8"/>
        <v>Jan-2024</v>
      </c>
      <c r="W564" s="16">
        <f>Table1[[#This Row],[Consultation Date]] - Table1[[#This Row],[Appointment Date]]</f>
        <v>4.1666666664241347E-2</v>
      </c>
    </row>
    <row r="565" spans="1:23" x14ac:dyDescent="0.3">
      <c r="A565" t="s">
        <v>622</v>
      </c>
      <c r="B565">
        <v>75</v>
      </c>
      <c r="C565" t="s">
        <v>52</v>
      </c>
      <c r="D565" s="2">
        <v>45598</v>
      </c>
      <c r="E565" s="2">
        <v>45346</v>
      </c>
      <c r="F565">
        <v>13</v>
      </c>
      <c r="G565" t="s">
        <v>34</v>
      </c>
      <c r="H565">
        <v>5</v>
      </c>
      <c r="I565" t="s">
        <v>71</v>
      </c>
      <c r="J565">
        <v>33343</v>
      </c>
      <c r="K565" t="s">
        <v>25</v>
      </c>
      <c r="L565" t="s">
        <v>54</v>
      </c>
      <c r="M565" t="s">
        <v>27</v>
      </c>
      <c r="N565" s="2">
        <v>45567</v>
      </c>
      <c r="O565" s="2">
        <v>45598.166666666664</v>
      </c>
      <c r="P565" t="s">
        <v>42</v>
      </c>
      <c r="Q565" t="s">
        <v>29</v>
      </c>
      <c r="R565" t="s">
        <v>43</v>
      </c>
      <c r="S565">
        <v>9</v>
      </c>
      <c r="T565">
        <v>12</v>
      </c>
      <c r="U565" t="s">
        <v>31</v>
      </c>
      <c r="V565" t="str">
        <f t="shared" si="8"/>
        <v>Nov-2024</v>
      </c>
      <c r="W565" s="16">
        <f>Table1[[#This Row],[Consultation Date]] - Table1[[#This Row],[Appointment Date]]</f>
        <v>31.166666666664241</v>
      </c>
    </row>
    <row r="566" spans="1:23" x14ac:dyDescent="0.3">
      <c r="A566" t="s">
        <v>623</v>
      </c>
      <c r="B566">
        <v>18</v>
      </c>
      <c r="C566" t="s">
        <v>62</v>
      </c>
      <c r="D566" s="2">
        <v>45130</v>
      </c>
      <c r="E566" s="2">
        <v>45136</v>
      </c>
      <c r="F566">
        <v>6</v>
      </c>
      <c r="G566" t="s">
        <v>57</v>
      </c>
      <c r="H566">
        <v>5</v>
      </c>
      <c r="I566" t="s">
        <v>71</v>
      </c>
      <c r="J566">
        <v>8770</v>
      </c>
      <c r="K566" t="s">
        <v>53</v>
      </c>
      <c r="L566" t="s">
        <v>26</v>
      </c>
      <c r="M566" t="s">
        <v>41</v>
      </c>
      <c r="N566" s="2">
        <v>45127</v>
      </c>
      <c r="O566" s="2">
        <v>45127.541666666664</v>
      </c>
      <c r="P566" t="s">
        <v>42</v>
      </c>
      <c r="Q566" t="s">
        <v>29</v>
      </c>
      <c r="R566" t="s">
        <v>47</v>
      </c>
      <c r="S566">
        <v>9</v>
      </c>
      <c r="T566">
        <v>12</v>
      </c>
      <c r="U566" t="s">
        <v>68</v>
      </c>
      <c r="V566" t="str">
        <f t="shared" si="8"/>
        <v>Jul-2023</v>
      </c>
      <c r="W566" s="16">
        <f>Table1[[#This Row],[Consultation Date]] - Table1[[#This Row],[Appointment Date]]</f>
        <v>0.54166666666424135</v>
      </c>
    </row>
    <row r="567" spans="1:23" x14ac:dyDescent="0.3">
      <c r="A567" t="s">
        <v>624</v>
      </c>
      <c r="B567">
        <v>76</v>
      </c>
      <c r="C567" t="s">
        <v>52</v>
      </c>
      <c r="D567" s="2">
        <v>45004</v>
      </c>
      <c r="E567" s="2">
        <v>45015</v>
      </c>
      <c r="F567">
        <v>11</v>
      </c>
      <c r="G567" t="s">
        <v>34</v>
      </c>
      <c r="H567">
        <v>2</v>
      </c>
      <c r="I567" t="s">
        <v>71</v>
      </c>
      <c r="J567">
        <v>10829</v>
      </c>
      <c r="K567" t="s">
        <v>36</v>
      </c>
      <c r="L567" t="s">
        <v>26</v>
      </c>
      <c r="M567" t="s">
        <v>27</v>
      </c>
      <c r="N567" s="2">
        <v>44999</v>
      </c>
      <c r="O567" s="2">
        <v>45000.875</v>
      </c>
      <c r="P567" t="s">
        <v>42</v>
      </c>
      <c r="Q567" t="s">
        <v>29</v>
      </c>
      <c r="R567" t="s">
        <v>47</v>
      </c>
      <c r="S567">
        <v>9</v>
      </c>
      <c r="T567">
        <v>8</v>
      </c>
      <c r="U567" t="s">
        <v>48</v>
      </c>
      <c r="V567" t="str">
        <f t="shared" si="8"/>
        <v>Mar-2023</v>
      </c>
      <c r="W567" s="16">
        <f>Table1[[#This Row],[Consultation Date]] - Table1[[#This Row],[Appointment Date]]</f>
        <v>1.875</v>
      </c>
    </row>
    <row r="568" spans="1:23" x14ac:dyDescent="0.3">
      <c r="A568" t="s">
        <v>625</v>
      </c>
      <c r="B568">
        <v>9</v>
      </c>
      <c r="C568" t="s">
        <v>45</v>
      </c>
      <c r="D568" s="2">
        <v>45086</v>
      </c>
      <c r="E568" s="2">
        <v>45185</v>
      </c>
      <c r="F568">
        <v>10</v>
      </c>
      <c r="G568" t="s">
        <v>23</v>
      </c>
      <c r="H568">
        <v>1</v>
      </c>
      <c r="I568" t="s">
        <v>24</v>
      </c>
      <c r="J568">
        <v>39381</v>
      </c>
      <c r="K568" t="s">
        <v>53</v>
      </c>
      <c r="L568" t="s">
        <v>26</v>
      </c>
      <c r="M568" t="s">
        <v>27</v>
      </c>
      <c r="N568" s="2">
        <v>44966</v>
      </c>
      <c r="O568" s="2">
        <v>44966.375</v>
      </c>
      <c r="P568" t="s">
        <v>28</v>
      </c>
      <c r="Q568" t="s">
        <v>29</v>
      </c>
      <c r="R568" t="s">
        <v>47</v>
      </c>
      <c r="S568">
        <v>4</v>
      </c>
      <c r="T568">
        <v>12</v>
      </c>
      <c r="U568" t="s">
        <v>48</v>
      </c>
      <c r="V568" t="str">
        <f t="shared" si="8"/>
        <v>Jun-2023</v>
      </c>
      <c r="W568" s="16">
        <f>Table1[[#This Row],[Consultation Date]] - Table1[[#This Row],[Appointment Date]]</f>
        <v>0.375</v>
      </c>
    </row>
    <row r="569" spans="1:23" x14ac:dyDescent="0.3">
      <c r="A569" t="s">
        <v>626</v>
      </c>
      <c r="B569">
        <v>74</v>
      </c>
      <c r="C569" t="s">
        <v>62</v>
      </c>
      <c r="D569" s="2">
        <v>45031</v>
      </c>
      <c r="E569" s="2">
        <v>45032</v>
      </c>
      <c r="F569">
        <v>1</v>
      </c>
      <c r="G569" t="s">
        <v>50</v>
      </c>
      <c r="H569">
        <v>1</v>
      </c>
      <c r="I569" t="s">
        <v>71</v>
      </c>
      <c r="J569">
        <v>20545</v>
      </c>
      <c r="K569" t="s">
        <v>60</v>
      </c>
      <c r="L569" t="s">
        <v>26</v>
      </c>
      <c r="M569" t="s">
        <v>41</v>
      </c>
      <c r="N569" s="2">
        <v>45203</v>
      </c>
      <c r="O569" s="2">
        <v>45234.75</v>
      </c>
      <c r="P569" t="s">
        <v>64</v>
      </c>
      <c r="Q569" t="s">
        <v>29</v>
      </c>
      <c r="R569" t="s">
        <v>47</v>
      </c>
      <c r="S569">
        <v>6</v>
      </c>
      <c r="T569">
        <v>12</v>
      </c>
      <c r="U569" t="s">
        <v>48</v>
      </c>
      <c r="V569" t="str">
        <f t="shared" si="8"/>
        <v>Apr-2023</v>
      </c>
      <c r="W569" s="16">
        <f>Table1[[#This Row],[Consultation Date]] - Table1[[#This Row],[Appointment Date]]</f>
        <v>31.75</v>
      </c>
    </row>
    <row r="570" spans="1:23" x14ac:dyDescent="0.3">
      <c r="A570" t="s">
        <v>627</v>
      </c>
      <c r="B570">
        <v>58</v>
      </c>
      <c r="C570" t="s">
        <v>33</v>
      </c>
      <c r="D570" s="2">
        <v>45057</v>
      </c>
      <c r="E570" s="2">
        <v>45248</v>
      </c>
      <c r="F570">
        <v>13</v>
      </c>
      <c r="G570" t="s">
        <v>23</v>
      </c>
      <c r="H570">
        <v>1</v>
      </c>
      <c r="I570" t="s">
        <v>66</v>
      </c>
      <c r="J570">
        <v>23263</v>
      </c>
      <c r="K570" t="s">
        <v>36</v>
      </c>
      <c r="L570" t="s">
        <v>54</v>
      </c>
      <c r="M570" t="s">
        <v>27</v>
      </c>
      <c r="N570" s="2">
        <v>44996</v>
      </c>
      <c r="O570" s="2">
        <v>44996.833333333336</v>
      </c>
      <c r="P570" t="s">
        <v>55</v>
      </c>
      <c r="Q570" t="s">
        <v>29</v>
      </c>
      <c r="R570" t="s">
        <v>47</v>
      </c>
      <c r="S570">
        <v>10</v>
      </c>
      <c r="T570">
        <v>12</v>
      </c>
      <c r="U570" t="s">
        <v>31</v>
      </c>
      <c r="V570" t="str">
        <f t="shared" si="8"/>
        <v>May-2023</v>
      </c>
      <c r="W570" s="16">
        <f>Table1[[#This Row],[Consultation Date]] - Table1[[#This Row],[Appointment Date]]</f>
        <v>0.83333333333575865</v>
      </c>
    </row>
    <row r="571" spans="1:23" x14ac:dyDescent="0.3">
      <c r="A571" t="s">
        <v>628</v>
      </c>
      <c r="B571">
        <v>17</v>
      </c>
      <c r="C571" t="s">
        <v>45</v>
      </c>
      <c r="D571" s="2">
        <v>45021</v>
      </c>
      <c r="E571" s="2">
        <v>45061</v>
      </c>
      <c r="F571">
        <v>11</v>
      </c>
      <c r="G571" t="s">
        <v>57</v>
      </c>
      <c r="H571">
        <v>4</v>
      </c>
      <c r="I571" t="s">
        <v>35</v>
      </c>
      <c r="J571">
        <v>43140</v>
      </c>
      <c r="K571" t="s">
        <v>36</v>
      </c>
      <c r="L571" t="s">
        <v>54</v>
      </c>
      <c r="M571" t="s">
        <v>41</v>
      </c>
      <c r="N571" s="2">
        <v>45045</v>
      </c>
      <c r="O571" s="2">
        <v>45045.458333333336</v>
      </c>
      <c r="P571" t="s">
        <v>64</v>
      </c>
      <c r="Q571" t="s">
        <v>38</v>
      </c>
      <c r="R571" t="s">
        <v>47</v>
      </c>
      <c r="S571">
        <v>4</v>
      </c>
      <c r="T571">
        <v>12</v>
      </c>
      <c r="U571" t="s">
        <v>31</v>
      </c>
      <c r="V571" t="str">
        <f t="shared" si="8"/>
        <v>Apr-2023</v>
      </c>
      <c r="W571" s="16">
        <f>Table1[[#This Row],[Consultation Date]] - Table1[[#This Row],[Appointment Date]]</f>
        <v>0.45833333333575865</v>
      </c>
    </row>
    <row r="572" spans="1:23" x14ac:dyDescent="0.3">
      <c r="A572" t="s">
        <v>629</v>
      </c>
      <c r="B572">
        <v>7</v>
      </c>
      <c r="C572" t="s">
        <v>33</v>
      </c>
      <c r="D572" s="2">
        <v>45262</v>
      </c>
      <c r="E572" s="2">
        <v>44980</v>
      </c>
      <c r="F572">
        <v>11</v>
      </c>
      <c r="G572" t="s">
        <v>40</v>
      </c>
      <c r="H572">
        <v>4</v>
      </c>
      <c r="I572" t="s">
        <v>66</v>
      </c>
      <c r="J572">
        <v>48306</v>
      </c>
      <c r="K572" t="s">
        <v>67</v>
      </c>
      <c r="L572" t="s">
        <v>54</v>
      </c>
      <c r="M572" t="s">
        <v>27</v>
      </c>
      <c r="N572" s="2">
        <v>45262</v>
      </c>
      <c r="O572" s="2">
        <v>45262.75</v>
      </c>
      <c r="P572" t="s">
        <v>55</v>
      </c>
      <c r="Q572" t="s">
        <v>29</v>
      </c>
      <c r="R572" t="s">
        <v>47</v>
      </c>
      <c r="S572">
        <v>8</v>
      </c>
      <c r="T572">
        <v>10</v>
      </c>
      <c r="U572" t="s">
        <v>48</v>
      </c>
      <c r="V572" t="str">
        <f t="shared" si="8"/>
        <v>Dec-2023</v>
      </c>
      <c r="W572" s="16">
        <f>Table1[[#This Row],[Consultation Date]] - Table1[[#This Row],[Appointment Date]]</f>
        <v>0.75</v>
      </c>
    </row>
    <row r="573" spans="1:23" x14ac:dyDescent="0.3">
      <c r="A573" t="s">
        <v>630</v>
      </c>
      <c r="B573">
        <v>46</v>
      </c>
      <c r="C573" t="s">
        <v>22</v>
      </c>
      <c r="D573" s="2">
        <v>45282</v>
      </c>
      <c r="E573" s="2">
        <v>45288</v>
      </c>
      <c r="F573">
        <v>6</v>
      </c>
      <c r="G573" t="s">
        <v>50</v>
      </c>
      <c r="H573">
        <v>2</v>
      </c>
      <c r="I573" t="s">
        <v>66</v>
      </c>
      <c r="J573">
        <v>30675</v>
      </c>
      <c r="K573" t="s">
        <v>60</v>
      </c>
      <c r="L573" t="s">
        <v>54</v>
      </c>
      <c r="M573" t="s">
        <v>41</v>
      </c>
      <c r="N573" s="2">
        <v>45277</v>
      </c>
      <c r="O573" s="2">
        <v>45277.25</v>
      </c>
      <c r="P573" t="s">
        <v>55</v>
      </c>
      <c r="Q573" t="s">
        <v>29</v>
      </c>
      <c r="R573" t="s">
        <v>30</v>
      </c>
      <c r="S573">
        <v>4</v>
      </c>
      <c r="T573">
        <v>10</v>
      </c>
      <c r="U573" t="s">
        <v>48</v>
      </c>
      <c r="V573" t="str">
        <f t="shared" si="8"/>
        <v>Dec-2023</v>
      </c>
      <c r="W573" s="16">
        <f>Table1[[#This Row],[Consultation Date]] - Table1[[#This Row],[Appointment Date]]</f>
        <v>0.25</v>
      </c>
    </row>
    <row r="574" spans="1:23" x14ac:dyDescent="0.3">
      <c r="A574" t="s">
        <v>631</v>
      </c>
      <c r="B574">
        <v>13</v>
      </c>
      <c r="C574" t="s">
        <v>41</v>
      </c>
      <c r="D574" s="2">
        <v>45365</v>
      </c>
      <c r="E574" s="2">
        <v>45367</v>
      </c>
      <c r="F574">
        <v>2</v>
      </c>
      <c r="G574" t="s">
        <v>63</v>
      </c>
      <c r="H574">
        <v>1</v>
      </c>
      <c r="I574" t="s">
        <v>35</v>
      </c>
      <c r="J574">
        <v>30362</v>
      </c>
      <c r="K574" t="s">
        <v>60</v>
      </c>
      <c r="L574" t="s">
        <v>26</v>
      </c>
      <c r="M574" t="s">
        <v>41</v>
      </c>
      <c r="N574" s="2">
        <v>45629</v>
      </c>
      <c r="O574" s="2">
        <v>45364.75</v>
      </c>
      <c r="P574" t="s">
        <v>42</v>
      </c>
      <c r="Q574" t="s">
        <v>29</v>
      </c>
      <c r="R574" t="s">
        <v>43</v>
      </c>
      <c r="S574">
        <v>11</v>
      </c>
      <c r="T574">
        <v>8</v>
      </c>
      <c r="U574" t="s">
        <v>68</v>
      </c>
      <c r="V574" t="str">
        <f t="shared" si="8"/>
        <v>Mar-2024</v>
      </c>
      <c r="W574" s="16">
        <f>Table1[[#This Row],[Consultation Date]] - Table1[[#This Row],[Appointment Date]]</f>
        <v>-264.25</v>
      </c>
    </row>
    <row r="575" spans="1:23" x14ac:dyDescent="0.3">
      <c r="A575" t="s">
        <v>632</v>
      </c>
      <c r="B575">
        <v>40</v>
      </c>
      <c r="C575" t="s">
        <v>45</v>
      </c>
      <c r="D575" s="2">
        <v>45306</v>
      </c>
      <c r="E575" s="2">
        <v>45312</v>
      </c>
      <c r="F575">
        <v>6</v>
      </c>
      <c r="G575" t="s">
        <v>34</v>
      </c>
      <c r="H575">
        <v>1</v>
      </c>
      <c r="I575" t="s">
        <v>66</v>
      </c>
      <c r="J575">
        <v>5148</v>
      </c>
      <c r="K575" t="s">
        <v>36</v>
      </c>
      <c r="L575" t="s">
        <v>54</v>
      </c>
      <c r="M575" t="s">
        <v>41</v>
      </c>
      <c r="N575" s="2">
        <v>45304</v>
      </c>
      <c r="O575" s="2">
        <v>45305</v>
      </c>
      <c r="P575" t="s">
        <v>37</v>
      </c>
      <c r="Q575" t="s">
        <v>29</v>
      </c>
      <c r="R575" t="s">
        <v>43</v>
      </c>
      <c r="S575">
        <v>10</v>
      </c>
      <c r="T575">
        <v>12</v>
      </c>
      <c r="U575" t="s">
        <v>68</v>
      </c>
      <c r="V575" t="str">
        <f t="shared" si="8"/>
        <v>Jan-2024</v>
      </c>
      <c r="W575" s="16">
        <f>Table1[[#This Row],[Consultation Date]] - Table1[[#This Row],[Appointment Date]]</f>
        <v>1</v>
      </c>
    </row>
    <row r="576" spans="1:23" x14ac:dyDescent="0.3">
      <c r="A576" t="s">
        <v>633</v>
      </c>
      <c r="B576">
        <v>42</v>
      </c>
      <c r="C576" t="s">
        <v>22</v>
      </c>
      <c r="D576" s="2">
        <v>45263</v>
      </c>
      <c r="E576" s="2">
        <v>44999</v>
      </c>
      <c r="F576">
        <v>2</v>
      </c>
      <c r="G576" t="s">
        <v>23</v>
      </c>
      <c r="H576">
        <v>5</v>
      </c>
      <c r="I576" t="s">
        <v>24</v>
      </c>
      <c r="J576">
        <v>6754</v>
      </c>
      <c r="K576" t="s">
        <v>60</v>
      </c>
      <c r="L576" t="s">
        <v>54</v>
      </c>
      <c r="M576" t="s">
        <v>41</v>
      </c>
      <c r="N576" s="2">
        <v>45141</v>
      </c>
      <c r="O576" s="2">
        <v>45141.708333333336</v>
      </c>
      <c r="P576" t="s">
        <v>42</v>
      </c>
      <c r="Q576" t="s">
        <v>29</v>
      </c>
      <c r="R576" t="s">
        <v>47</v>
      </c>
      <c r="S576">
        <v>10</v>
      </c>
      <c r="T576">
        <v>12</v>
      </c>
      <c r="U576" t="s">
        <v>68</v>
      </c>
      <c r="V576" t="str">
        <f t="shared" si="8"/>
        <v>Dec-2023</v>
      </c>
      <c r="W576" s="16">
        <f>Table1[[#This Row],[Consultation Date]] - Table1[[#This Row],[Appointment Date]]</f>
        <v>0.70833333333575865</v>
      </c>
    </row>
    <row r="577" spans="1:23" x14ac:dyDescent="0.3">
      <c r="A577" t="s">
        <v>634</v>
      </c>
      <c r="B577">
        <v>9</v>
      </c>
      <c r="C577" t="s">
        <v>45</v>
      </c>
      <c r="D577" s="2">
        <v>45328</v>
      </c>
      <c r="E577" s="2">
        <v>45602</v>
      </c>
      <c r="F577">
        <v>9</v>
      </c>
      <c r="G577" t="s">
        <v>50</v>
      </c>
      <c r="H577">
        <v>5</v>
      </c>
      <c r="I577" t="s">
        <v>35</v>
      </c>
      <c r="J577">
        <v>31745</v>
      </c>
      <c r="K577" t="s">
        <v>36</v>
      </c>
      <c r="L577" t="s">
        <v>54</v>
      </c>
      <c r="M577" t="s">
        <v>27</v>
      </c>
      <c r="N577" s="2">
        <v>45297</v>
      </c>
      <c r="O577" s="2">
        <v>45297.25</v>
      </c>
      <c r="P577" t="s">
        <v>28</v>
      </c>
      <c r="Q577" t="s">
        <v>38</v>
      </c>
      <c r="R577" t="s">
        <v>43</v>
      </c>
      <c r="S577">
        <v>10</v>
      </c>
      <c r="T577">
        <v>12</v>
      </c>
      <c r="U577" t="s">
        <v>31</v>
      </c>
      <c r="V577" t="str">
        <f t="shared" si="8"/>
        <v>Feb-2024</v>
      </c>
      <c r="W577" s="16">
        <f>Table1[[#This Row],[Consultation Date]] - Table1[[#This Row],[Appointment Date]]</f>
        <v>0.25</v>
      </c>
    </row>
    <row r="578" spans="1:23" x14ac:dyDescent="0.3">
      <c r="A578" t="s">
        <v>635</v>
      </c>
      <c r="B578">
        <v>50</v>
      </c>
      <c r="C578" t="s">
        <v>45</v>
      </c>
      <c r="D578" s="2">
        <v>45276</v>
      </c>
      <c r="E578" s="2">
        <v>45287</v>
      </c>
      <c r="F578">
        <v>11</v>
      </c>
      <c r="G578" t="s">
        <v>23</v>
      </c>
      <c r="H578">
        <v>2</v>
      </c>
      <c r="I578" t="s">
        <v>66</v>
      </c>
      <c r="J578">
        <v>12378</v>
      </c>
      <c r="K578" t="s">
        <v>67</v>
      </c>
      <c r="L578" t="s">
        <v>26</v>
      </c>
      <c r="M578" t="s">
        <v>41</v>
      </c>
      <c r="N578" s="2">
        <v>45275</v>
      </c>
      <c r="O578" s="2">
        <v>45276</v>
      </c>
      <c r="P578" t="s">
        <v>55</v>
      </c>
      <c r="Q578" t="s">
        <v>29</v>
      </c>
      <c r="R578" t="s">
        <v>47</v>
      </c>
      <c r="S578">
        <v>9</v>
      </c>
      <c r="T578">
        <v>8</v>
      </c>
      <c r="U578" t="s">
        <v>48</v>
      </c>
      <c r="V578" t="str">
        <f t="shared" ref="V578:V641" si="9">TEXT(D578,"mmm-yyyy")</f>
        <v>Dec-2023</v>
      </c>
      <c r="W578" s="16">
        <f>Table1[[#This Row],[Consultation Date]] - Table1[[#This Row],[Appointment Date]]</f>
        <v>1</v>
      </c>
    </row>
    <row r="579" spans="1:23" x14ac:dyDescent="0.3">
      <c r="A579" t="s">
        <v>636</v>
      </c>
      <c r="B579">
        <v>27</v>
      </c>
      <c r="C579" t="s">
        <v>22</v>
      </c>
      <c r="D579" s="2">
        <v>44939</v>
      </c>
      <c r="E579" s="2">
        <v>44946</v>
      </c>
      <c r="F579">
        <v>7</v>
      </c>
      <c r="G579" t="s">
        <v>50</v>
      </c>
      <c r="H579">
        <v>1</v>
      </c>
      <c r="I579" t="s">
        <v>46</v>
      </c>
      <c r="J579">
        <v>25140</v>
      </c>
      <c r="K579" t="s">
        <v>36</v>
      </c>
      <c r="L579" t="s">
        <v>54</v>
      </c>
      <c r="M579" t="s">
        <v>27</v>
      </c>
      <c r="N579" s="2">
        <v>45261</v>
      </c>
      <c r="O579" s="2">
        <v>44939.791666666664</v>
      </c>
      <c r="P579" t="s">
        <v>37</v>
      </c>
      <c r="Q579" t="s">
        <v>29</v>
      </c>
      <c r="R579" t="s">
        <v>30</v>
      </c>
      <c r="S579">
        <v>8</v>
      </c>
      <c r="T579">
        <v>10</v>
      </c>
      <c r="U579" t="s">
        <v>31</v>
      </c>
      <c r="V579" t="str">
        <f t="shared" si="9"/>
        <v>Jan-2023</v>
      </c>
      <c r="W579" s="16">
        <f>Table1[[#This Row],[Consultation Date]] - Table1[[#This Row],[Appointment Date]]</f>
        <v>-321.20833333333576</v>
      </c>
    </row>
    <row r="580" spans="1:23" x14ac:dyDescent="0.3">
      <c r="A580" t="s">
        <v>637</v>
      </c>
      <c r="B580">
        <v>66</v>
      </c>
      <c r="C580" t="s">
        <v>62</v>
      </c>
      <c r="D580" s="2">
        <v>45446</v>
      </c>
      <c r="E580" s="2">
        <v>45599</v>
      </c>
      <c r="F580">
        <v>5</v>
      </c>
      <c r="G580" t="s">
        <v>57</v>
      </c>
      <c r="H580">
        <v>2</v>
      </c>
      <c r="I580" t="s">
        <v>66</v>
      </c>
      <c r="J580">
        <v>14371</v>
      </c>
      <c r="K580" t="s">
        <v>60</v>
      </c>
      <c r="L580" t="s">
        <v>54</v>
      </c>
      <c r="M580" t="s">
        <v>41</v>
      </c>
      <c r="N580" s="2">
        <v>45354</v>
      </c>
      <c r="O580" s="2">
        <v>45385.75</v>
      </c>
      <c r="P580" t="s">
        <v>55</v>
      </c>
      <c r="Q580" t="s">
        <v>29</v>
      </c>
      <c r="R580" t="s">
        <v>43</v>
      </c>
      <c r="S580">
        <v>4</v>
      </c>
      <c r="T580">
        <v>12</v>
      </c>
      <c r="U580" t="s">
        <v>48</v>
      </c>
      <c r="V580" t="str">
        <f t="shared" si="9"/>
        <v>Jun-2024</v>
      </c>
      <c r="W580" s="16">
        <f>Table1[[#This Row],[Consultation Date]] - Table1[[#This Row],[Appointment Date]]</f>
        <v>31.75</v>
      </c>
    </row>
    <row r="581" spans="1:23" x14ac:dyDescent="0.3">
      <c r="A581" t="s">
        <v>638</v>
      </c>
      <c r="B581">
        <v>5</v>
      </c>
      <c r="C581" t="s">
        <v>52</v>
      </c>
      <c r="D581" s="2">
        <v>45428</v>
      </c>
      <c r="E581" s="2">
        <v>45433</v>
      </c>
      <c r="F581">
        <v>5</v>
      </c>
      <c r="G581" t="s">
        <v>57</v>
      </c>
      <c r="H581">
        <v>5</v>
      </c>
      <c r="I581" t="s">
        <v>24</v>
      </c>
      <c r="J581">
        <v>31999</v>
      </c>
      <c r="K581" t="s">
        <v>60</v>
      </c>
      <c r="L581" t="s">
        <v>54</v>
      </c>
      <c r="M581" t="s">
        <v>27</v>
      </c>
      <c r="N581" s="2">
        <v>45427</v>
      </c>
      <c r="O581" s="2">
        <v>45427.458333333336</v>
      </c>
      <c r="P581" t="s">
        <v>55</v>
      </c>
      <c r="Q581" t="s">
        <v>29</v>
      </c>
      <c r="R581" t="s">
        <v>43</v>
      </c>
      <c r="S581">
        <v>4</v>
      </c>
      <c r="T581">
        <v>10</v>
      </c>
      <c r="U581" t="s">
        <v>68</v>
      </c>
      <c r="V581" t="str">
        <f t="shared" si="9"/>
        <v>May-2024</v>
      </c>
      <c r="W581" s="16">
        <f>Table1[[#This Row],[Consultation Date]] - Table1[[#This Row],[Appointment Date]]</f>
        <v>0.45833333333575865</v>
      </c>
    </row>
    <row r="582" spans="1:23" x14ac:dyDescent="0.3">
      <c r="A582" t="s">
        <v>639</v>
      </c>
      <c r="B582">
        <v>29</v>
      </c>
      <c r="C582" t="s">
        <v>33</v>
      </c>
      <c r="D582" s="2">
        <v>45035</v>
      </c>
      <c r="E582" s="2">
        <v>44931</v>
      </c>
      <c r="F582">
        <v>12</v>
      </c>
      <c r="G582" t="s">
        <v>57</v>
      </c>
      <c r="H582">
        <v>5</v>
      </c>
      <c r="I582" t="s">
        <v>71</v>
      </c>
      <c r="J582">
        <v>17779</v>
      </c>
      <c r="K582" t="s">
        <v>36</v>
      </c>
      <c r="L582" t="s">
        <v>26</v>
      </c>
      <c r="M582" t="s">
        <v>27</v>
      </c>
      <c r="N582" s="2">
        <v>45032</v>
      </c>
      <c r="O582" s="2">
        <v>45032.166666666664</v>
      </c>
      <c r="P582" t="s">
        <v>42</v>
      </c>
      <c r="Q582" t="s">
        <v>29</v>
      </c>
      <c r="R582" t="s">
        <v>30</v>
      </c>
      <c r="S582">
        <v>11</v>
      </c>
      <c r="T582">
        <v>8</v>
      </c>
      <c r="U582" t="s">
        <v>68</v>
      </c>
      <c r="V582" t="str">
        <f t="shared" si="9"/>
        <v>Apr-2023</v>
      </c>
      <c r="W582" s="16">
        <f>Table1[[#This Row],[Consultation Date]] - Table1[[#This Row],[Appointment Date]]</f>
        <v>0.16666666666424135</v>
      </c>
    </row>
    <row r="583" spans="1:23" x14ac:dyDescent="0.3">
      <c r="A583" t="s">
        <v>640</v>
      </c>
      <c r="B583">
        <v>37</v>
      </c>
      <c r="C583" t="s">
        <v>45</v>
      </c>
      <c r="D583" s="2">
        <v>45370</v>
      </c>
      <c r="E583" s="2">
        <v>45326</v>
      </c>
      <c r="F583">
        <v>14</v>
      </c>
      <c r="G583" t="s">
        <v>23</v>
      </c>
      <c r="H583">
        <v>4</v>
      </c>
      <c r="I583" t="s">
        <v>66</v>
      </c>
      <c r="J583">
        <v>36075</v>
      </c>
      <c r="K583" t="s">
        <v>36</v>
      </c>
      <c r="L583" t="s">
        <v>54</v>
      </c>
      <c r="M583" t="s">
        <v>41</v>
      </c>
      <c r="N583" s="2">
        <v>45365</v>
      </c>
      <c r="O583" s="2">
        <v>45366.083333333336</v>
      </c>
      <c r="P583" t="s">
        <v>37</v>
      </c>
      <c r="Q583" t="s">
        <v>29</v>
      </c>
      <c r="R583" t="s">
        <v>30</v>
      </c>
      <c r="S583">
        <v>6</v>
      </c>
      <c r="T583">
        <v>10</v>
      </c>
      <c r="U583" t="s">
        <v>68</v>
      </c>
      <c r="V583" t="str">
        <f t="shared" si="9"/>
        <v>Mar-2024</v>
      </c>
      <c r="W583" s="16">
        <f>Table1[[#This Row],[Consultation Date]] - Table1[[#This Row],[Appointment Date]]</f>
        <v>1.0833333333357587</v>
      </c>
    </row>
    <row r="584" spans="1:23" x14ac:dyDescent="0.3">
      <c r="A584" t="s">
        <v>641</v>
      </c>
      <c r="B584">
        <v>38</v>
      </c>
      <c r="C584" t="s">
        <v>33</v>
      </c>
      <c r="D584" s="2">
        <v>45444</v>
      </c>
      <c r="E584" s="2">
        <v>45308</v>
      </c>
      <c r="F584">
        <v>11</v>
      </c>
      <c r="G584" t="s">
        <v>63</v>
      </c>
      <c r="H584">
        <v>2</v>
      </c>
      <c r="I584" t="s">
        <v>71</v>
      </c>
      <c r="J584">
        <v>35697</v>
      </c>
      <c r="K584" t="s">
        <v>36</v>
      </c>
      <c r="L584" t="s">
        <v>54</v>
      </c>
      <c r="M584" t="s">
        <v>27</v>
      </c>
      <c r="N584" s="2">
        <v>45323</v>
      </c>
      <c r="O584" s="2">
        <v>45352.708333333336</v>
      </c>
      <c r="P584" t="s">
        <v>37</v>
      </c>
      <c r="Q584" t="s">
        <v>29</v>
      </c>
      <c r="R584" t="s">
        <v>30</v>
      </c>
      <c r="S584">
        <v>4</v>
      </c>
      <c r="T584">
        <v>12</v>
      </c>
      <c r="U584" t="s">
        <v>68</v>
      </c>
      <c r="V584" t="str">
        <f t="shared" si="9"/>
        <v>Jun-2024</v>
      </c>
      <c r="W584" s="16">
        <f>Table1[[#This Row],[Consultation Date]] - Table1[[#This Row],[Appointment Date]]</f>
        <v>29.708333333335759</v>
      </c>
    </row>
    <row r="585" spans="1:23" x14ac:dyDescent="0.3">
      <c r="A585" t="s">
        <v>642</v>
      </c>
      <c r="B585">
        <v>83</v>
      </c>
      <c r="C585" t="s">
        <v>41</v>
      </c>
      <c r="D585" s="2">
        <v>45397</v>
      </c>
      <c r="E585" s="2">
        <v>45412</v>
      </c>
      <c r="F585">
        <v>15</v>
      </c>
      <c r="G585" t="s">
        <v>57</v>
      </c>
      <c r="H585">
        <v>2</v>
      </c>
      <c r="I585" t="s">
        <v>46</v>
      </c>
      <c r="J585">
        <v>14795</v>
      </c>
      <c r="K585" t="s">
        <v>25</v>
      </c>
      <c r="L585" t="s">
        <v>54</v>
      </c>
      <c r="M585" t="s">
        <v>41</v>
      </c>
      <c r="N585" s="2">
        <v>45395</v>
      </c>
      <c r="O585" s="2">
        <v>45395.833333333336</v>
      </c>
      <c r="P585" t="s">
        <v>55</v>
      </c>
      <c r="Q585" t="s">
        <v>29</v>
      </c>
      <c r="R585" t="s">
        <v>43</v>
      </c>
      <c r="S585">
        <v>11</v>
      </c>
      <c r="T585">
        <v>10</v>
      </c>
      <c r="U585" t="s">
        <v>48</v>
      </c>
      <c r="V585" t="str">
        <f t="shared" si="9"/>
        <v>Apr-2024</v>
      </c>
      <c r="W585" s="16">
        <f>Table1[[#This Row],[Consultation Date]] - Table1[[#This Row],[Appointment Date]]</f>
        <v>0.83333333333575865</v>
      </c>
    </row>
    <row r="586" spans="1:23" x14ac:dyDescent="0.3">
      <c r="A586" t="s">
        <v>643</v>
      </c>
      <c r="B586">
        <v>8</v>
      </c>
      <c r="C586" t="s">
        <v>22</v>
      </c>
      <c r="D586" s="2">
        <v>45083</v>
      </c>
      <c r="E586" s="2">
        <v>45093</v>
      </c>
      <c r="F586">
        <v>10</v>
      </c>
      <c r="G586" t="s">
        <v>50</v>
      </c>
      <c r="H586">
        <v>1</v>
      </c>
      <c r="I586" t="s">
        <v>66</v>
      </c>
      <c r="J586">
        <v>43460</v>
      </c>
      <c r="K586" t="s">
        <v>60</v>
      </c>
      <c r="L586" t="s">
        <v>26</v>
      </c>
      <c r="M586" t="s">
        <v>27</v>
      </c>
      <c r="N586" s="2">
        <v>44991</v>
      </c>
      <c r="O586" s="2">
        <v>45022.958333333336</v>
      </c>
      <c r="P586" t="s">
        <v>37</v>
      </c>
      <c r="Q586" t="s">
        <v>29</v>
      </c>
      <c r="R586" t="s">
        <v>43</v>
      </c>
      <c r="S586">
        <v>8</v>
      </c>
      <c r="T586">
        <v>10</v>
      </c>
      <c r="U586" t="s">
        <v>68</v>
      </c>
      <c r="V586" t="str">
        <f t="shared" si="9"/>
        <v>Jun-2023</v>
      </c>
      <c r="W586" s="16">
        <f>Table1[[#This Row],[Consultation Date]] - Table1[[#This Row],[Appointment Date]]</f>
        <v>31.958333333335759</v>
      </c>
    </row>
    <row r="587" spans="1:23" x14ac:dyDescent="0.3">
      <c r="A587" t="s">
        <v>644</v>
      </c>
      <c r="B587">
        <v>65</v>
      </c>
      <c r="C587" t="s">
        <v>33</v>
      </c>
      <c r="D587" s="2">
        <v>45372</v>
      </c>
      <c r="E587" s="2">
        <v>45386</v>
      </c>
      <c r="F587">
        <v>14</v>
      </c>
      <c r="G587" t="s">
        <v>57</v>
      </c>
      <c r="H587">
        <v>1</v>
      </c>
      <c r="I587" t="s">
        <v>35</v>
      </c>
      <c r="J587">
        <v>9218</v>
      </c>
      <c r="K587" t="s">
        <v>60</v>
      </c>
      <c r="L587" t="s">
        <v>54</v>
      </c>
      <c r="M587" t="s">
        <v>27</v>
      </c>
      <c r="N587" s="2">
        <v>45367</v>
      </c>
      <c r="O587" s="2">
        <v>45368.875</v>
      </c>
      <c r="P587" t="s">
        <v>37</v>
      </c>
      <c r="Q587" t="s">
        <v>29</v>
      </c>
      <c r="R587" t="s">
        <v>30</v>
      </c>
      <c r="S587">
        <v>9</v>
      </c>
      <c r="T587">
        <v>8</v>
      </c>
      <c r="U587" t="s">
        <v>48</v>
      </c>
      <c r="V587" t="str">
        <f t="shared" si="9"/>
        <v>Mar-2024</v>
      </c>
      <c r="W587" s="16">
        <f>Table1[[#This Row],[Consultation Date]] - Table1[[#This Row],[Appointment Date]]</f>
        <v>1.875</v>
      </c>
    </row>
    <row r="588" spans="1:23" x14ac:dyDescent="0.3">
      <c r="A588" t="s">
        <v>645</v>
      </c>
      <c r="B588">
        <v>86</v>
      </c>
      <c r="C588" t="s">
        <v>22</v>
      </c>
      <c r="D588" s="2">
        <v>45107</v>
      </c>
      <c r="E588" s="2">
        <v>44992</v>
      </c>
      <c r="F588">
        <v>3</v>
      </c>
      <c r="G588" t="s">
        <v>40</v>
      </c>
      <c r="H588">
        <v>4</v>
      </c>
      <c r="I588" t="s">
        <v>71</v>
      </c>
      <c r="J588">
        <v>42571</v>
      </c>
      <c r="K588" t="s">
        <v>25</v>
      </c>
      <c r="L588" t="s">
        <v>54</v>
      </c>
      <c r="M588" t="s">
        <v>27</v>
      </c>
      <c r="N588" s="2">
        <v>45103</v>
      </c>
      <c r="O588" s="2">
        <v>45103.625</v>
      </c>
      <c r="P588" t="s">
        <v>42</v>
      </c>
      <c r="Q588" t="s">
        <v>29</v>
      </c>
      <c r="R588" t="s">
        <v>30</v>
      </c>
      <c r="S588">
        <v>6</v>
      </c>
      <c r="T588">
        <v>8</v>
      </c>
      <c r="U588" t="s">
        <v>48</v>
      </c>
      <c r="V588" t="str">
        <f t="shared" si="9"/>
        <v>Jun-2023</v>
      </c>
      <c r="W588" s="16">
        <f>Table1[[#This Row],[Consultation Date]] - Table1[[#This Row],[Appointment Date]]</f>
        <v>0.625</v>
      </c>
    </row>
    <row r="589" spans="1:23" x14ac:dyDescent="0.3">
      <c r="A589" t="s">
        <v>646</v>
      </c>
      <c r="B589">
        <v>17</v>
      </c>
      <c r="C589" t="s">
        <v>33</v>
      </c>
      <c r="D589" s="2">
        <v>45461</v>
      </c>
      <c r="E589" s="2">
        <v>45467</v>
      </c>
      <c r="F589">
        <v>6</v>
      </c>
      <c r="G589" t="s">
        <v>57</v>
      </c>
      <c r="H589">
        <v>3</v>
      </c>
      <c r="I589" t="s">
        <v>46</v>
      </c>
      <c r="J589">
        <v>16672</v>
      </c>
      <c r="K589" t="s">
        <v>36</v>
      </c>
      <c r="L589" t="s">
        <v>54</v>
      </c>
      <c r="M589" t="s">
        <v>27</v>
      </c>
      <c r="N589" s="2">
        <v>45458</v>
      </c>
      <c r="O589" s="2">
        <v>45459.166666666664</v>
      </c>
      <c r="P589" t="s">
        <v>64</v>
      </c>
      <c r="Q589" t="s">
        <v>29</v>
      </c>
      <c r="R589" t="s">
        <v>30</v>
      </c>
      <c r="S589">
        <v>11</v>
      </c>
      <c r="T589">
        <v>8</v>
      </c>
      <c r="U589" t="s">
        <v>31</v>
      </c>
      <c r="V589" t="str">
        <f t="shared" si="9"/>
        <v>Jun-2024</v>
      </c>
      <c r="W589" s="16">
        <f>Table1[[#This Row],[Consultation Date]] - Table1[[#This Row],[Appointment Date]]</f>
        <v>1.1666666666642413</v>
      </c>
    </row>
    <row r="590" spans="1:23" x14ac:dyDescent="0.3">
      <c r="A590" t="s">
        <v>647</v>
      </c>
      <c r="B590">
        <v>71</v>
      </c>
      <c r="C590" t="s">
        <v>52</v>
      </c>
      <c r="D590" s="2">
        <v>45026</v>
      </c>
      <c r="E590" s="2">
        <v>45087</v>
      </c>
      <c r="F590">
        <v>2</v>
      </c>
      <c r="G590" t="s">
        <v>23</v>
      </c>
      <c r="H590">
        <v>3</v>
      </c>
      <c r="I590" t="s">
        <v>35</v>
      </c>
      <c r="J590">
        <v>36042</v>
      </c>
      <c r="K590" t="s">
        <v>67</v>
      </c>
      <c r="L590" t="s">
        <v>54</v>
      </c>
      <c r="M590" t="s">
        <v>27</v>
      </c>
      <c r="N590" s="2">
        <v>45199</v>
      </c>
      <c r="O590" s="2">
        <v>44936.75</v>
      </c>
      <c r="P590" t="s">
        <v>28</v>
      </c>
      <c r="Q590" t="s">
        <v>29</v>
      </c>
      <c r="R590" t="s">
        <v>30</v>
      </c>
      <c r="S590">
        <v>4</v>
      </c>
      <c r="T590">
        <v>8</v>
      </c>
      <c r="U590" t="s">
        <v>68</v>
      </c>
      <c r="V590" t="str">
        <f t="shared" si="9"/>
        <v>Apr-2023</v>
      </c>
      <c r="W590" s="16">
        <f>Table1[[#This Row],[Consultation Date]] - Table1[[#This Row],[Appointment Date]]</f>
        <v>-262.25</v>
      </c>
    </row>
    <row r="591" spans="1:23" x14ac:dyDescent="0.3">
      <c r="A591" t="s">
        <v>648</v>
      </c>
      <c r="B591">
        <v>89</v>
      </c>
      <c r="C591" t="s">
        <v>52</v>
      </c>
      <c r="D591" s="2">
        <v>45570</v>
      </c>
      <c r="E591" s="2">
        <v>45432</v>
      </c>
      <c r="F591">
        <v>10</v>
      </c>
      <c r="G591" t="s">
        <v>63</v>
      </c>
      <c r="H591">
        <v>3</v>
      </c>
      <c r="I591" t="s">
        <v>35</v>
      </c>
      <c r="J591">
        <v>40950</v>
      </c>
      <c r="K591" t="s">
        <v>36</v>
      </c>
      <c r="L591" t="s">
        <v>26</v>
      </c>
      <c r="M591" t="s">
        <v>41</v>
      </c>
      <c r="N591" s="2">
        <v>45417</v>
      </c>
      <c r="O591" s="2">
        <v>45417.25</v>
      </c>
      <c r="P591" t="s">
        <v>64</v>
      </c>
      <c r="Q591" t="s">
        <v>29</v>
      </c>
      <c r="R591" t="s">
        <v>30</v>
      </c>
      <c r="S591">
        <v>6</v>
      </c>
      <c r="T591">
        <v>10</v>
      </c>
      <c r="U591" t="s">
        <v>68</v>
      </c>
      <c r="V591" t="str">
        <f t="shared" si="9"/>
        <v>Oct-2024</v>
      </c>
      <c r="W591" s="16">
        <f>Table1[[#This Row],[Consultation Date]] - Table1[[#This Row],[Appointment Date]]</f>
        <v>0.25</v>
      </c>
    </row>
    <row r="592" spans="1:23" x14ac:dyDescent="0.3">
      <c r="A592" t="s">
        <v>649</v>
      </c>
      <c r="B592">
        <v>45</v>
      </c>
      <c r="C592" t="s">
        <v>52</v>
      </c>
      <c r="D592" s="2">
        <v>45403</v>
      </c>
      <c r="E592" s="2">
        <v>45327</v>
      </c>
      <c r="F592">
        <v>11</v>
      </c>
      <c r="G592" t="s">
        <v>40</v>
      </c>
      <c r="H592">
        <v>2</v>
      </c>
      <c r="I592" t="s">
        <v>35</v>
      </c>
      <c r="J592">
        <v>16009</v>
      </c>
      <c r="K592" t="s">
        <v>36</v>
      </c>
      <c r="L592" t="s">
        <v>54</v>
      </c>
      <c r="M592" t="s">
        <v>41</v>
      </c>
      <c r="N592" s="2">
        <v>45402</v>
      </c>
      <c r="O592" s="2">
        <v>45403.916666666664</v>
      </c>
      <c r="P592" t="s">
        <v>37</v>
      </c>
      <c r="Q592" t="s">
        <v>38</v>
      </c>
      <c r="R592" t="s">
        <v>47</v>
      </c>
      <c r="S592">
        <v>7</v>
      </c>
      <c r="T592">
        <v>10</v>
      </c>
      <c r="U592" t="s">
        <v>31</v>
      </c>
      <c r="V592" t="str">
        <f t="shared" si="9"/>
        <v>Apr-2024</v>
      </c>
      <c r="W592" s="16">
        <f>Table1[[#This Row],[Consultation Date]] - Table1[[#This Row],[Appointment Date]]</f>
        <v>1.9166666666642413</v>
      </c>
    </row>
    <row r="593" spans="1:23" x14ac:dyDescent="0.3">
      <c r="A593" t="s">
        <v>650</v>
      </c>
      <c r="B593">
        <v>4</v>
      </c>
      <c r="C593" t="s">
        <v>52</v>
      </c>
      <c r="D593" s="2">
        <v>45373</v>
      </c>
      <c r="E593" s="2">
        <v>45376</v>
      </c>
      <c r="F593">
        <v>3</v>
      </c>
      <c r="G593" t="s">
        <v>23</v>
      </c>
      <c r="H593">
        <v>2</v>
      </c>
      <c r="I593" t="s">
        <v>35</v>
      </c>
      <c r="J593">
        <v>24544</v>
      </c>
      <c r="K593" t="s">
        <v>25</v>
      </c>
      <c r="L593" t="s">
        <v>26</v>
      </c>
      <c r="M593" t="s">
        <v>27</v>
      </c>
      <c r="N593" s="2">
        <v>45372</v>
      </c>
      <c r="O593" s="2">
        <v>45372.291666666664</v>
      </c>
      <c r="P593" t="s">
        <v>55</v>
      </c>
      <c r="Q593" t="s">
        <v>29</v>
      </c>
      <c r="R593" t="s">
        <v>30</v>
      </c>
      <c r="S593">
        <v>6</v>
      </c>
      <c r="T593">
        <v>8</v>
      </c>
      <c r="U593" t="s">
        <v>48</v>
      </c>
      <c r="V593" t="str">
        <f t="shared" si="9"/>
        <v>Mar-2024</v>
      </c>
      <c r="W593" s="16">
        <f>Table1[[#This Row],[Consultation Date]] - Table1[[#This Row],[Appointment Date]]</f>
        <v>0.29166666666424135</v>
      </c>
    </row>
    <row r="594" spans="1:23" x14ac:dyDescent="0.3">
      <c r="A594" t="s">
        <v>651</v>
      </c>
      <c r="B594">
        <v>36</v>
      </c>
      <c r="C594" t="s">
        <v>52</v>
      </c>
      <c r="D594" s="2">
        <v>44967</v>
      </c>
      <c r="E594" s="2">
        <v>45216</v>
      </c>
      <c r="F594">
        <v>15</v>
      </c>
      <c r="G594" t="s">
        <v>23</v>
      </c>
      <c r="H594">
        <v>5</v>
      </c>
      <c r="I594" t="s">
        <v>66</v>
      </c>
      <c r="J594">
        <v>34381</v>
      </c>
      <c r="K594" t="s">
        <v>60</v>
      </c>
      <c r="L594" t="s">
        <v>26</v>
      </c>
      <c r="M594" t="s">
        <v>27</v>
      </c>
      <c r="N594" s="2">
        <v>45196</v>
      </c>
      <c r="O594" s="2">
        <v>45196.041666666664</v>
      </c>
      <c r="P594" t="s">
        <v>28</v>
      </c>
      <c r="Q594" t="s">
        <v>29</v>
      </c>
      <c r="R594" t="s">
        <v>47</v>
      </c>
      <c r="S594">
        <v>10</v>
      </c>
      <c r="T594">
        <v>8</v>
      </c>
      <c r="U594" t="s">
        <v>68</v>
      </c>
      <c r="V594" t="str">
        <f t="shared" si="9"/>
        <v>Feb-2023</v>
      </c>
      <c r="W594" s="16">
        <f>Table1[[#This Row],[Consultation Date]] - Table1[[#This Row],[Appointment Date]]</f>
        <v>4.1666666664241347E-2</v>
      </c>
    </row>
    <row r="595" spans="1:23" x14ac:dyDescent="0.3">
      <c r="A595" t="s">
        <v>652</v>
      </c>
      <c r="B595">
        <v>70</v>
      </c>
      <c r="C595" t="s">
        <v>52</v>
      </c>
      <c r="D595" s="2">
        <v>45257</v>
      </c>
      <c r="E595" s="2">
        <v>44997</v>
      </c>
      <c r="F595">
        <v>6</v>
      </c>
      <c r="G595" t="s">
        <v>23</v>
      </c>
      <c r="H595">
        <v>2</v>
      </c>
      <c r="I595" t="s">
        <v>66</v>
      </c>
      <c r="J595">
        <v>30287</v>
      </c>
      <c r="K595" t="s">
        <v>36</v>
      </c>
      <c r="L595" t="s">
        <v>54</v>
      </c>
      <c r="M595" t="s">
        <v>27</v>
      </c>
      <c r="N595" s="2">
        <v>45253</v>
      </c>
      <c r="O595" s="2">
        <v>45253.583333333336</v>
      </c>
      <c r="P595" t="s">
        <v>28</v>
      </c>
      <c r="Q595" t="s">
        <v>29</v>
      </c>
      <c r="R595" t="s">
        <v>43</v>
      </c>
      <c r="S595">
        <v>9</v>
      </c>
      <c r="T595">
        <v>12</v>
      </c>
      <c r="U595" t="s">
        <v>48</v>
      </c>
      <c r="V595" t="str">
        <f t="shared" si="9"/>
        <v>Nov-2023</v>
      </c>
      <c r="W595" s="16">
        <f>Table1[[#This Row],[Consultation Date]] - Table1[[#This Row],[Appointment Date]]</f>
        <v>0.58333333333575865</v>
      </c>
    </row>
    <row r="596" spans="1:23" x14ac:dyDescent="0.3">
      <c r="A596" t="s">
        <v>653</v>
      </c>
      <c r="B596">
        <v>31</v>
      </c>
      <c r="C596" t="s">
        <v>22</v>
      </c>
      <c r="D596" s="2">
        <v>45178</v>
      </c>
      <c r="E596" s="2">
        <v>45183</v>
      </c>
      <c r="F596">
        <v>5</v>
      </c>
      <c r="G596" t="s">
        <v>50</v>
      </c>
      <c r="H596">
        <v>2</v>
      </c>
      <c r="I596" t="s">
        <v>66</v>
      </c>
      <c r="J596">
        <v>7586</v>
      </c>
      <c r="K596" t="s">
        <v>60</v>
      </c>
      <c r="L596" t="s">
        <v>26</v>
      </c>
      <c r="M596" t="s">
        <v>27</v>
      </c>
      <c r="N596" s="2">
        <v>45178</v>
      </c>
      <c r="O596" s="2">
        <v>45208.291666666664</v>
      </c>
      <c r="P596" t="s">
        <v>55</v>
      </c>
      <c r="Q596" t="s">
        <v>29</v>
      </c>
      <c r="R596" t="s">
        <v>43</v>
      </c>
      <c r="S596">
        <v>10</v>
      </c>
      <c r="T596">
        <v>12</v>
      </c>
      <c r="U596" t="s">
        <v>31</v>
      </c>
      <c r="V596" t="str">
        <f t="shared" si="9"/>
        <v>Sep-2023</v>
      </c>
      <c r="W596" s="16">
        <f>Table1[[#This Row],[Consultation Date]] - Table1[[#This Row],[Appointment Date]]</f>
        <v>30.291666666664241</v>
      </c>
    </row>
    <row r="597" spans="1:23" x14ac:dyDescent="0.3">
      <c r="A597" t="s">
        <v>654</v>
      </c>
      <c r="B597">
        <v>19</v>
      </c>
      <c r="C597" t="s">
        <v>45</v>
      </c>
      <c r="D597" s="2">
        <v>45015</v>
      </c>
      <c r="E597" s="2">
        <v>45203</v>
      </c>
      <c r="F597">
        <v>11</v>
      </c>
      <c r="G597" t="s">
        <v>23</v>
      </c>
      <c r="H597">
        <v>2</v>
      </c>
      <c r="I597" t="s">
        <v>46</v>
      </c>
      <c r="J597">
        <v>7648</v>
      </c>
      <c r="K597" t="s">
        <v>53</v>
      </c>
      <c r="L597" t="s">
        <v>26</v>
      </c>
      <c r="M597" t="s">
        <v>27</v>
      </c>
      <c r="N597" s="2">
        <v>45011</v>
      </c>
      <c r="O597" s="2">
        <v>45011.208333333336</v>
      </c>
      <c r="P597" t="s">
        <v>28</v>
      </c>
      <c r="Q597" t="s">
        <v>29</v>
      </c>
      <c r="R597" t="s">
        <v>47</v>
      </c>
      <c r="S597">
        <v>7</v>
      </c>
      <c r="T597">
        <v>8</v>
      </c>
      <c r="U597" t="s">
        <v>48</v>
      </c>
      <c r="V597" t="str">
        <f t="shared" si="9"/>
        <v>Mar-2023</v>
      </c>
      <c r="W597" s="16">
        <f>Table1[[#This Row],[Consultation Date]] - Table1[[#This Row],[Appointment Date]]</f>
        <v>0.20833333333575865</v>
      </c>
    </row>
    <row r="598" spans="1:23" x14ac:dyDescent="0.3">
      <c r="A598" t="s">
        <v>655</v>
      </c>
      <c r="B598">
        <v>61</v>
      </c>
      <c r="C598" t="s">
        <v>33</v>
      </c>
      <c r="D598" s="2">
        <v>45212</v>
      </c>
      <c r="E598" s="2">
        <v>45224</v>
      </c>
      <c r="F598">
        <v>12</v>
      </c>
      <c r="G598" t="s">
        <v>50</v>
      </c>
      <c r="H598">
        <v>4</v>
      </c>
      <c r="I598" t="s">
        <v>46</v>
      </c>
      <c r="J598">
        <v>45081</v>
      </c>
      <c r="K598" t="s">
        <v>60</v>
      </c>
      <c r="L598" t="s">
        <v>26</v>
      </c>
      <c r="M598" t="s">
        <v>27</v>
      </c>
      <c r="N598" s="2">
        <v>45209</v>
      </c>
      <c r="O598" s="2">
        <v>45209.375</v>
      </c>
      <c r="P598" t="s">
        <v>55</v>
      </c>
      <c r="Q598" t="s">
        <v>29</v>
      </c>
      <c r="R598" t="s">
        <v>30</v>
      </c>
      <c r="S598">
        <v>10</v>
      </c>
      <c r="T598">
        <v>10</v>
      </c>
      <c r="U598" t="s">
        <v>68</v>
      </c>
      <c r="V598" t="str">
        <f t="shared" si="9"/>
        <v>Oct-2023</v>
      </c>
      <c r="W598" s="16">
        <f>Table1[[#This Row],[Consultation Date]] - Table1[[#This Row],[Appointment Date]]</f>
        <v>0.375</v>
      </c>
    </row>
    <row r="599" spans="1:23" x14ac:dyDescent="0.3">
      <c r="A599" t="s">
        <v>656</v>
      </c>
      <c r="B599">
        <v>54</v>
      </c>
      <c r="C599" t="s">
        <v>52</v>
      </c>
      <c r="D599" s="2">
        <v>45447</v>
      </c>
      <c r="E599" s="2">
        <v>45399</v>
      </c>
      <c r="F599">
        <v>11</v>
      </c>
      <c r="G599" t="s">
        <v>23</v>
      </c>
      <c r="H599">
        <v>2</v>
      </c>
      <c r="I599" t="s">
        <v>46</v>
      </c>
      <c r="J599">
        <v>23101</v>
      </c>
      <c r="K599" t="s">
        <v>67</v>
      </c>
      <c r="L599" t="s">
        <v>54</v>
      </c>
      <c r="M599" t="s">
        <v>27</v>
      </c>
      <c r="N599" s="2">
        <v>45326</v>
      </c>
      <c r="O599" s="2">
        <v>45355.583333333336</v>
      </c>
      <c r="P599" t="s">
        <v>28</v>
      </c>
      <c r="Q599" t="s">
        <v>29</v>
      </c>
      <c r="R599" t="s">
        <v>43</v>
      </c>
      <c r="S599">
        <v>7</v>
      </c>
      <c r="T599">
        <v>8</v>
      </c>
      <c r="U599" t="s">
        <v>48</v>
      </c>
      <c r="V599" t="str">
        <f t="shared" si="9"/>
        <v>Jun-2024</v>
      </c>
      <c r="W599" s="16">
        <f>Table1[[#This Row],[Consultation Date]] - Table1[[#This Row],[Appointment Date]]</f>
        <v>29.583333333335759</v>
      </c>
    </row>
    <row r="600" spans="1:23" x14ac:dyDescent="0.3">
      <c r="A600" t="s">
        <v>657</v>
      </c>
      <c r="B600">
        <v>39</v>
      </c>
      <c r="C600" t="s">
        <v>22</v>
      </c>
      <c r="D600" s="2">
        <v>45116</v>
      </c>
      <c r="E600" s="2">
        <v>45183</v>
      </c>
      <c r="F600">
        <v>7</v>
      </c>
      <c r="G600" t="s">
        <v>34</v>
      </c>
      <c r="H600">
        <v>1</v>
      </c>
      <c r="I600" t="s">
        <v>24</v>
      </c>
      <c r="J600">
        <v>26692</v>
      </c>
      <c r="K600" t="s">
        <v>67</v>
      </c>
      <c r="L600" t="s">
        <v>54</v>
      </c>
      <c r="M600" t="s">
        <v>27</v>
      </c>
      <c r="N600" s="2">
        <v>44966</v>
      </c>
      <c r="O600" s="2">
        <v>44966.625</v>
      </c>
      <c r="P600" t="s">
        <v>64</v>
      </c>
      <c r="Q600" t="s">
        <v>29</v>
      </c>
      <c r="R600" t="s">
        <v>30</v>
      </c>
      <c r="S600">
        <v>6</v>
      </c>
      <c r="T600">
        <v>10</v>
      </c>
      <c r="U600" t="s">
        <v>48</v>
      </c>
      <c r="V600" t="str">
        <f t="shared" si="9"/>
        <v>Jul-2023</v>
      </c>
      <c r="W600" s="16">
        <f>Table1[[#This Row],[Consultation Date]] - Table1[[#This Row],[Appointment Date]]</f>
        <v>0.625</v>
      </c>
    </row>
    <row r="601" spans="1:23" x14ac:dyDescent="0.3">
      <c r="A601" t="s">
        <v>658</v>
      </c>
      <c r="B601">
        <v>74</v>
      </c>
      <c r="C601" t="s">
        <v>22</v>
      </c>
      <c r="D601" s="2">
        <v>45402</v>
      </c>
      <c r="E601" s="2">
        <v>45405</v>
      </c>
      <c r="F601">
        <v>3</v>
      </c>
      <c r="G601" t="s">
        <v>40</v>
      </c>
      <c r="H601">
        <v>1</v>
      </c>
      <c r="I601" t="s">
        <v>46</v>
      </c>
      <c r="J601">
        <v>12407</v>
      </c>
      <c r="K601" t="s">
        <v>36</v>
      </c>
      <c r="L601" t="s">
        <v>54</v>
      </c>
      <c r="M601" t="s">
        <v>27</v>
      </c>
      <c r="N601" s="2">
        <v>45400</v>
      </c>
      <c r="O601" s="2">
        <v>45401.416666666664</v>
      </c>
      <c r="P601" t="s">
        <v>28</v>
      </c>
      <c r="Q601" t="s">
        <v>29</v>
      </c>
      <c r="R601" t="s">
        <v>30</v>
      </c>
      <c r="S601">
        <v>8</v>
      </c>
      <c r="T601">
        <v>10</v>
      </c>
      <c r="U601" t="s">
        <v>68</v>
      </c>
      <c r="V601" t="str">
        <f t="shared" si="9"/>
        <v>Apr-2024</v>
      </c>
      <c r="W601" s="16">
        <f>Table1[[#This Row],[Consultation Date]] - Table1[[#This Row],[Appointment Date]]</f>
        <v>1.4166666666642413</v>
      </c>
    </row>
    <row r="602" spans="1:23" x14ac:dyDescent="0.3">
      <c r="A602" t="s">
        <v>659</v>
      </c>
      <c r="B602">
        <v>19</v>
      </c>
      <c r="C602" t="s">
        <v>22</v>
      </c>
      <c r="D602" s="2">
        <v>45315</v>
      </c>
      <c r="E602" s="2">
        <v>45353</v>
      </c>
      <c r="F602">
        <v>10</v>
      </c>
      <c r="G602" t="s">
        <v>34</v>
      </c>
      <c r="H602">
        <v>5</v>
      </c>
      <c r="I602" t="s">
        <v>66</v>
      </c>
      <c r="J602">
        <v>22254</v>
      </c>
      <c r="K602" t="s">
        <v>60</v>
      </c>
      <c r="L602" t="s">
        <v>26</v>
      </c>
      <c r="M602" t="s">
        <v>41</v>
      </c>
      <c r="N602" s="2">
        <v>45315</v>
      </c>
      <c r="O602" s="2">
        <v>45316.833333333336</v>
      </c>
      <c r="P602" t="s">
        <v>42</v>
      </c>
      <c r="Q602" t="s">
        <v>29</v>
      </c>
      <c r="R602" t="s">
        <v>47</v>
      </c>
      <c r="S602">
        <v>9</v>
      </c>
      <c r="T602">
        <v>12</v>
      </c>
      <c r="U602" t="s">
        <v>68</v>
      </c>
      <c r="V602" t="str">
        <f t="shared" si="9"/>
        <v>Jan-2024</v>
      </c>
      <c r="W602" s="16">
        <f>Table1[[#This Row],[Consultation Date]] - Table1[[#This Row],[Appointment Date]]</f>
        <v>1.8333333333357587</v>
      </c>
    </row>
    <row r="603" spans="1:23" x14ac:dyDescent="0.3">
      <c r="A603" t="s">
        <v>660</v>
      </c>
      <c r="B603">
        <v>39</v>
      </c>
      <c r="C603" t="s">
        <v>45</v>
      </c>
      <c r="D603" s="2">
        <v>45242</v>
      </c>
      <c r="E603" s="2">
        <v>45283</v>
      </c>
      <c r="F603">
        <v>12</v>
      </c>
      <c r="G603" t="s">
        <v>23</v>
      </c>
      <c r="H603">
        <v>4</v>
      </c>
      <c r="I603" t="s">
        <v>66</v>
      </c>
      <c r="J603">
        <v>20234</v>
      </c>
      <c r="K603" t="s">
        <v>36</v>
      </c>
      <c r="L603" t="s">
        <v>54</v>
      </c>
      <c r="M603" t="s">
        <v>41</v>
      </c>
      <c r="N603" s="2">
        <v>45119</v>
      </c>
      <c r="O603" s="2">
        <v>45150.208333333336</v>
      </c>
      <c r="P603" t="s">
        <v>55</v>
      </c>
      <c r="Q603" t="s">
        <v>29</v>
      </c>
      <c r="R603" t="s">
        <v>43</v>
      </c>
      <c r="S603">
        <v>8</v>
      </c>
      <c r="T603">
        <v>8</v>
      </c>
      <c r="U603" t="s">
        <v>48</v>
      </c>
      <c r="V603" t="str">
        <f t="shared" si="9"/>
        <v>Nov-2023</v>
      </c>
      <c r="W603" s="16">
        <f>Table1[[#This Row],[Consultation Date]] - Table1[[#This Row],[Appointment Date]]</f>
        <v>31.208333333335759</v>
      </c>
    </row>
    <row r="604" spans="1:23" x14ac:dyDescent="0.3">
      <c r="A604" t="s">
        <v>661</v>
      </c>
      <c r="B604">
        <v>67</v>
      </c>
      <c r="C604" t="s">
        <v>33</v>
      </c>
      <c r="D604" s="2">
        <v>44956</v>
      </c>
      <c r="E604" s="2">
        <v>44928</v>
      </c>
      <c r="F604">
        <v>2</v>
      </c>
      <c r="G604" t="s">
        <v>40</v>
      </c>
      <c r="H604">
        <v>1</v>
      </c>
      <c r="I604" t="s">
        <v>24</v>
      </c>
      <c r="J604">
        <v>27211</v>
      </c>
      <c r="K604" t="s">
        <v>25</v>
      </c>
      <c r="L604" t="s">
        <v>54</v>
      </c>
      <c r="M604" t="s">
        <v>27</v>
      </c>
      <c r="N604" s="2">
        <v>44956</v>
      </c>
      <c r="O604" s="2">
        <v>44956.041666666664</v>
      </c>
      <c r="P604" t="s">
        <v>28</v>
      </c>
      <c r="Q604" t="s">
        <v>29</v>
      </c>
      <c r="R604" t="s">
        <v>43</v>
      </c>
      <c r="S604">
        <v>9</v>
      </c>
      <c r="T604">
        <v>8</v>
      </c>
      <c r="U604" t="s">
        <v>48</v>
      </c>
      <c r="V604" t="str">
        <f t="shared" si="9"/>
        <v>Jan-2023</v>
      </c>
      <c r="W604" s="16">
        <f>Table1[[#This Row],[Consultation Date]] - Table1[[#This Row],[Appointment Date]]</f>
        <v>4.1666666664241347E-2</v>
      </c>
    </row>
    <row r="605" spans="1:23" x14ac:dyDescent="0.3">
      <c r="A605" t="s">
        <v>662</v>
      </c>
      <c r="B605">
        <v>45</v>
      </c>
      <c r="C605" t="s">
        <v>45</v>
      </c>
      <c r="D605" s="2">
        <v>45433</v>
      </c>
      <c r="E605" s="2">
        <v>45438</v>
      </c>
      <c r="F605">
        <v>5</v>
      </c>
      <c r="G605" t="s">
        <v>40</v>
      </c>
      <c r="H605">
        <v>4</v>
      </c>
      <c r="I605" t="s">
        <v>24</v>
      </c>
      <c r="J605">
        <v>34480</v>
      </c>
      <c r="K605" t="s">
        <v>67</v>
      </c>
      <c r="L605" t="s">
        <v>54</v>
      </c>
      <c r="M605" t="s">
        <v>41</v>
      </c>
      <c r="N605" s="2">
        <v>45433</v>
      </c>
      <c r="O605" s="2">
        <v>45433.041666666664</v>
      </c>
      <c r="P605" t="s">
        <v>55</v>
      </c>
      <c r="Q605" t="s">
        <v>29</v>
      </c>
      <c r="R605" t="s">
        <v>47</v>
      </c>
      <c r="S605">
        <v>11</v>
      </c>
      <c r="T605">
        <v>10</v>
      </c>
      <c r="U605" t="s">
        <v>31</v>
      </c>
      <c r="V605" t="str">
        <f t="shared" si="9"/>
        <v>May-2024</v>
      </c>
      <c r="W605" s="16">
        <f>Table1[[#This Row],[Consultation Date]] - Table1[[#This Row],[Appointment Date]]</f>
        <v>4.1666666664241347E-2</v>
      </c>
    </row>
    <row r="606" spans="1:23" x14ac:dyDescent="0.3">
      <c r="A606" t="s">
        <v>663</v>
      </c>
      <c r="B606">
        <v>13</v>
      </c>
      <c r="C606" t="s">
        <v>62</v>
      </c>
      <c r="D606" s="2">
        <v>45259</v>
      </c>
      <c r="E606" s="2">
        <v>45150</v>
      </c>
      <c r="F606">
        <v>9</v>
      </c>
      <c r="G606" t="s">
        <v>63</v>
      </c>
      <c r="H606">
        <v>4</v>
      </c>
      <c r="I606" t="s">
        <v>46</v>
      </c>
      <c r="J606">
        <v>29846</v>
      </c>
      <c r="K606" t="s">
        <v>36</v>
      </c>
      <c r="L606" t="s">
        <v>54</v>
      </c>
      <c r="M606" t="s">
        <v>27</v>
      </c>
      <c r="N606" s="2">
        <v>45255</v>
      </c>
      <c r="O606" s="2">
        <v>45256.875</v>
      </c>
      <c r="P606" t="s">
        <v>42</v>
      </c>
      <c r="Q606" t="s">
        <v>29</v>
      </c>
      <c r="R606" t="s">
        <v>30</v>
      </c>
      <c r="S606">
        <v>9</v>
      </c>
      <c r="T606">
        <v>8</v>
      </c>
      <c r="U606" t="s">
        <v>68</v>
      </c>
      <c r="V606" t="str">
        <f t="shared" si="9"/>
        <v>Nov-2023</v>
      </c>
      <c r="W606" s="16">
        <f>Table1[[#This Row],[Consultation Date]] - Table1[[#This Row],[Appointment Date]]</f>
        <v>1.875</v>
      </c>
    </row>
    <row r="607" spans="1:23" x14ac:dyDescent="0.3">
      <c r="A607" t="s">
        <v>664</v>
      </c>
      <c r="B607">
        <v>58</v>
      </c>
      <c r="C607" t="s">
        <v>22</v>
      </c>
      <c r="D607" s="2">
        <v>45084</v>
      </c>
      <c r="E607" s="2">
        <v>45120</v>
      </c>
      <c r="F607">
        <v>7</v>
      </c>
      <c r="G607" t="s">
        <v>34</v>
      </c>
      <c r="H607">
        <v>5</v>
      </c>
      <c r="I607" t="s">
        <v>71</v>
      </c>
      <c r="J607">
        <v>47503</v>
      </c>
      <c r="K607" t="s">
        <v>25</v>
      </c>
      <c r="L607" t="s">
        <v>54</v>
      </c>
      <c r="M607" t="s">
        <v>27</v>
      </c>
      <c r="N607" s="2">
        <v>44964</v>
      </c>
      <c r="O607" s="2">
        <v>44964.916666666664</v>
      </c>
      <c r="P607" t="s">
        <v>28</v>
      </c>
      <c r="Q607" t="s">
        <v>29</v>
      </c>
      <c r="R607" t="s">
        <v>30</v>
      </c>
      <c r="S607">
        <v>10</v>
      </c>
      <c r="T607">
        <v>12</v>
      </c>
      <c r="U607" t="s">
        <v>48</v>
      </c>
      <c r="V607" t="str">
        <f t="shared" si="9"/>
        <v>Jun-2023</v>
      </c>
      <c r="W607" s="16">
        <f>Table1[[#This Row],[Consultation Date]] - Table1[[#This Row],[Appointment Date]]</f>
        <v>0.91666666666424135</v>
      </c>
    </row>
    <row r="608" spans="1:23" x14ac:dyDescent="0.3">
      <c r="A608" t="s">
        <v>665</v>
      </c>
      <c r="B608">
        <v>20</v>
      </c>
      <c r="C608" t="s">
        <v>62</v>
      </c>
      <c r="D608" s="2">
        <v>45426</v>
      </c>
      <c r="E608" s="2">
        <v>45437</v>
      </c>
      <c r="F608">
        <v>11</v>
      </c>
      <c r="G608" t="s">
        <v>63</v>
      </c>
      <c r="H608">
        <v>4</v>
      </c>
      <c r="I608" t="s">
        <v>24</v>
      </c>
      <c r="J608">
        <v>20321</v>
      </c>
      <c r="K608" t="s">
        <v>36</v>
      </c>
      <c r="L608" t="s">
        <v>54</v>
      </c>
      <c r="M608" t="s">
        <v>27</v>
      </c>
      <c r="N608" s="2">
        <v>45425</v>
      </c>
      <c r="O608" s="2">
        <v>45425.333333333336</v>
      </c>
      <c r="P608" t="s">
        <v>28</v>
      </c>
      <c r="Q608" t="s">
        <v>29</v>
      </c>
      <c r="R608" t="s">
        <v>43</v>
      </c>
      <c r="S608">
        <v>10</v>
      </c>
      <c r="T608">
        <v>12</v>
      </c>
      <c r="U608" t="s">
        <v>68</v>
      </c>
      <c r="V608" t="str">
        <f t="shared" si="9"/>
        <v>May-2024</v>
      </c>
      <c r="W608" s="16">
        <f>Table1[[#This Row],[Consultation Date]] - Table1[[#This Row],[Appointment Date]]</f>
        <v>0.33333333333575865</v>
      </c>
    </row>
    <row r="609" spans="1:23" x14ac:dyDescent="0.3">
      <c r="A609" t="s">
        <v>666</v>
      </c>
      <c r="B609">
        <v>72</v>
      </c>
      <c r="C609" t="s">
        <v>41</v>
      </c>
      <c r="D609" s="2">
        <v>45085</v>
      </c>
      <c r="E609" s="2">
        <v>45157</v>
      </c>
      <c r="F609">
        <v>13</v>
      </c>
      <c r="G609" t="s">
        <v>40</v>
      </c>
      <c r="H609">
        <v>2</v>
      </c>
      <c r="I609" t="s">
        <v>35</v>
      </c>
      <c r="J609">
        <v>17646</v>
      </c>
      <c r="K609" t="s">
        <v>60</v>
      </c>
      <c r="L609" t="s">
        <v>54</v>
      </c>
      <c r="M609" t="s">
        <v>27</v>
      </c>
      <c r="N609" s="2">
        <v>44965</v>
      </c>
      <c r="O609" s="2">
        <v>44993.166666666664</v>
      </c>
      <c r="P609" t="s">
        <v>42</v>
      </c>
      <c r="Q609" t="s">
        <v>29</v>
      </c>
      <c r="R609" t="s">
        <v>47</v>
      </c>
      <c r="S609">
        <v>8</v>
      </c>
      <c r="T609">
        <v>8</v>
      </c>
      <c r="U609" t="s">
        <v>31</v>
      </c>
      <c r="V609" t="str">
        <f t="shared" si="9"/>
        <v>Jun-2023</v>
      </c>
      <c r="W609" s="16">
        <f>Table1[[#This Row],[Consultation Date]] - Table1[[#This Row],[Appointment Date]]</f>
        <v>28.166666666664241</v>
      </c>
    </row>
    <row r="610" spans="1:23" x14ac:dyDescent="0.3">
      <c r="A610" t="s">
        <v>667</v>
      </c>
      <c r="B610">
        <v>61</v>
      </c>
      <c r="C610" t="s">
        <v>52</v>
      </c>
      <c r="D610" s="2">
        <v>45290</v>
      </c>
      <c r="E610" s="2">
        <v>45413</v>
      </c>
      <c r="F610">
        <v>6</v>
      </c>
      <c r="G610" t="s">
        <v>50</v>
      </c>
      <c r="H610">
        <v>4</v>
      </c>
      <c r="I610" t="s">
        <v>66</v>
      </c>
      <c r="J610">
        <v>27117</v>
      </c>
      <c r="K610" t="s">
        <v>60</v>
      </c>
      <c r="L610" t="s">
        <v>26</v>
      </c>
      <c r="M610" t="s">
        <v>27</v>
      </c>
      <c r="N610" s="2">
        <v>45286</v>
      </c>
      <c r="O610" s="2">
        <v>45287.875</v>
      </c>
      <c r="P610" t="s">
        <v>42</v>
      </c>
      <c r="Q610" t="s">
        <v>29</v>
      </c>
      <c r="R610" t="s">
        <v>47</v>
      </c>
      <c r="S610">
        <v>5</v>
      </c>
      <c r="T610">
        <v>8</v>
      </c>
      <c r="U610" t="s">
        <v>48</v>
      </c>
      <c r="V610" t="str">
        <f t="shared" si="9"/>
        <v>Dec-2023</v>
      </c>
      <c r="W610" s="16">
        <f>Table1[[#This Row],[Consultation Date]] - Table1[[#This Row],[Appointment Date]]</f>
        <v>1.875</v>
      </c>
    </row>
    <row r="611" spans="1:23" x14ac:dyDescent="0.3">
      <c r="A611" t="s">
        <v>668</v>
      </c>
      <c r="B611">
        <v>39</v>
      </c>
      <c r="C611" t="s">
        <v>52</v>
      </c>
      <c r="D611" s="2">
        <v>45191</v>
      </c>
      <c r="E611" s="2">
        <v>45087</v>
      </c>
      <c r="F611">
        <v>14</v>
      </c>
      <c r="G611" t="s">
        <v>40</v>
      </c>
      <c r="H611">
        <v>5</v>
      </c>
      <c r="I611" t="s">
        <v>35</v>
      </c>
      <c r="J611">
        <v>9893</v>
      </c>
      <c r="K611" t="s">
        <v>60</v>
      </c>
      <c r="L611" t="s">
        <v>54</v>
      </c>
      <c r="M611" t="s">
        <v>27</v>
      </c>
      <c r="N611" s="2">
        <v>45190</v>
      </c>
      <c r="O611" s="2">
        <v>45190.375</v>
      </c>
      <c r="P611" t="s">
        <v>42</v>
      </c>
      <c r="Q611" t="s">
        <v>29</v>
      </c>
      <c r="R611" t="s">
        <v>30</v>
      </c>
      <c r="S611">
        <v>11</v>
      </c>
      <c r="T611">
        <v>12</v>
      </c>
      <c r="U611" t="s">
        <v>48</v>
      </c>
      <c r="V611" t="str">
        <f t="shared" si="9"/>
        <v>Sep-2023</v>
      </c>
      <c r="W611" s="16">
        <f>Table1[[#This Row],[Consultation Date]] - Table1[[#This Row],[Appointment Date]]</f>
        <v>0.375</v>
      </c>
    </row>
    <row r="612" spans="1:23" x14ac:dyDescent="0.3">
      <c r="A612" t="s">
        <v>669</v>
      </c>
      <c r="B612">
        <v>1</v>
      </c>
      <c r="C612" t="s">
        <v>45</v>
      </c>
      <c r="D612" s="2">
        <v>45275</v>
      </c>
      <c r="E612" s="2">
        <v>45278</v>
      </c>
      <c r="F612">
        <v>3</v>
      </c>
      <c r="G612" t="s">
        <v>63</v>
      </c>
      <c r="H612">
        <v>5</v>
      </c>
      <c r="I612" t="s">
        <v>66</v>
      </c>
      <c r="J612">
        <v>14476</v>
      </c>
      <c r="K612" t="s">
        <v>60</v>
      </c>
      <c r="L612" t="s">
        <v>26</v>
      </c>
      <c r="M612" t="s">
        <v>27</v>
      </c>
      <c r="N612" s="2">
        <v>45274</v>
      </c>
      <c r="O612" s="2">
        <v>45275.291666666664</v>
      </c>
      <c r="P612" t="s">
        <v>55</v>
      </c>
      <c r="Q612" t="s">
        <v>29</v>
      </c>
      <c r="R612" t="s">
        <v>30</v>
      </c>
      <c r="S612">
        <v>7</v>
      </c>
      <c r="T612">
        <v>8</v>
      </c>
      <c r="U612" t="s">
        <v>48</v>
      </c>
      <c r="V612" t="str">
        <f t="shared" si="9"/>
        <v>Dec-2023</v>
      </c>
      <c r="W612" s="16">
        <f>Table1[[#This Row],[Consultation Date]] - Table1[[#This Row],[Appointment Date]]</f>
        <v>1.2916666666642413</v>
      </c>
    </row>
    <row r="613" spans="1:23" x14ac:dyDescent="0.3">
      <c r="A613" t="s">
        <v>670</v>
      </c>
      <c r="B613">
        <v>3</v>
      </c>
      <c r="C613" t="s">
        <v>33</v>
      </c>
      <c r="D613" s="2">
        <v>45213</v>
      </c>
      <c r="E613" s="2">
        <v>45224</v>
      </c>
      <c r="F613">
        <v>11</v>
      </c>
      <c r="G613" t="s">
        <v>34</v>
      </c>
      <c r="H613">
        <v>5</v>
      </c>
      <c r="I613" t="s">
        <v>66</v>
      </c>
      <c r="J613">
        <v>22270</v>
      </c>
      <c r="K613" t="s">
        <v>53</v>
      </c>
      <c r="L613" t="s">
        <v>54</v>
      </c>
      <c r="M613" t="s">
        <v>27</v>
      </c>
      <c r="N613" s="2">
        <v>45270</v>
      </c>
      <c r="O613" s="2">
        <v>45270.208333333336</v>
      </c>
      <c r="P613" t="s">
        <v>42</v>
      </c>
      <c r="Q613" t="s">
        <v>38</v>
      </c>
      <c r="R613" t="s">
        <v>47</v>
      </c>
      <c r="S613">
        <v>10</v>
      </c>
      <c r="T613">
        <v>10</v>
      </c>
      <c r="U613" t="s">
        <v>68</v>
      </c>
      <c r="V613" t="str">
        <f t="shared" si="9"/>
        <v>Oct-2023</v>
      </c>
      <c r="W613" s="16">
        <f>Table1[[#This Row],[Consultation Date]] - Table1[[#This Row],[Appointment Date]]</f>
        <v>0.20833333333575865</v>
      </c>
    </row>
    <row r="614" spans="1:23" x14ac:dyDescent="0.3">
      <c r="A614" t="s">
        <v>671</v>
      </c>
      <c r="B614">
        <v>77</v>
      </c>
      <c r="C614" t="s">
        <v>62</v>
      </c>
      <c r="D614" s="2">
        <v>45209</v>
      </c>
      <c r="E614" s="2">
        <v>45221</v>
      </c>
      <c r="F614">
        <v>12</v>
      </c>
      <c r="G614" t="s">
        <v>23</v>
      </c>
      <c r="H614">
        <v>1</v>
      </c>
      <c r="I614" t="s">
        <v>24</v>
      </c>
      <c r="J614">
        <v>26702</v>
      </c>
      <c r="K614" t="s">
        <v>25</v>
      </c>
      <c r="L614" t="s">
        <v>54</v>
      </c>
      <c r="M614" t="s">
        <v>27</v>
      </c>
      <c r="N614" s="2">
        <v>45087</v>
      </c>
      <c r="O614" s="2">
        <v>45087.625</v>
      </c>
      <c r="P614" t="s">
        <v>55</v>
      </c>
      <c r="Q614" t="s">
        <v>29</v>
      </c>
      <c r="R614" t="s">
        <v>43</v>
      </c>
      <c r="S614">
        <v>11</v>
      </c>
      <c r="T614">
        <v>8</v>
      </c>
      <c r="U614" t="s">
        <v>31</v>
      </c>
      <c r="V614" t="str">
        <f t="shared" si="9"/>
        <v>Oct-2023</v>
      </c>
      <c r="W614" s="16">
        <f>Table1[[#This Row],[Consultation Date]] - Table1[[#This Row],[Appointment Date]]</f>
        <v>0.625</v>
      </c>
    </row>
    <row r="615" spans="1:23" x14ac:dyDescent="0.3">
      <c r="A615" t="s">
        <v>672</v>
      </c>
      <c r="B615">
        <v>62</v>
      </c>
      <c r="C615" t="s">
        <v>33</v>
      </c>
      <c r="D615" s="2">
        <v>45231</v>
      </c>
      <c r="E615" s="2">
        <v>44951</v>
      </c>
      <c r="F615">
        <v>14</v>
      </c>
      <c r="G615" t="s">
        <v>23</v>
      </c>
      <c r="H615">
        <v>2</v>
      </c>
      <c r="I615" t="s">
        <v>24</v>
      </c>
      <c r="J615">
        <v>9382</v>
      </c>
      <c r="K615" t="s">
        <v>25</v>
      </c>
      <c r="L615" t="s">
        <v>26</v>
      </c>
      <c r="M615" t="s">
        <v>27</v>
      </c>
      <c r="N615" s="2">
        <v>45139</v>
      </c>
      <c r="O615" s="2">
        <v>45170.041666666664</v>
      </c>
      <c r="P615" t="s">
        <v>64</v>
      </c>
      <c r="Q615" t="s">
        <v>29</v>
      </c>
      <c r="R615" t="s">
        <v>30</v>
      </c>
      <c r="S615">
        <v>10</v>
      </c>
      <c r="T615">
        <v>10</v>
      </c>
      <c r="U615" t="s">
        <v>68</v>
      </c>
      <c r="V615" t="str">
        <f t="shared" si="9"/>
        <v>Nov-2023</v>
      </c>
      <c r="W615" s="16">
        <f>Table1[[#This Row],[Consultation Date]] - Table1[[#This Row],[Appointment Date]]</f>
        <v>31.041666666664241</v>
      </c>
    </row>
    <row r="616" spans="1:23" x14ac:dyDescent="0.3">
      <c r="A616" t="s">
        <v>673</v>
      </c>
      <c r="B616">
        <v>63</v>
      </c>
      <c r="C616" t="s">
        <v>45</v>
      </c>
      <c r="D616" s="2">
        <v>45456</v>
      </c>
      <c r="E616" s="2">
        <v>45468</v>
      </c>
      <c r="F616">
        <v>12</v>
      </c>
      <c r="G616" t="s">
        <v>34</v>
      </c>
      <c r="H616">
        <v>1</v>
      </c>
      <c r="I616" t="s">
        <v>35</v>
      </c>
      <c r="J616">
        <v>6785</v>
      </c>
      <c r="K616" t="s">
        <v>60</v>
      </c>
      <c r="L616" t="s">
        <v>26</v>
      </c>
      <c r="M616" t="s">
        <v>27</v>
      </c>
      <c r="N616" s="2">
        <v>45456</v>
      </c>
      <c r="O616" s="2">
        <v>45456.25</v>
      </c>
      <c r="P616" t="s">
        <v>28</v>
      </c>
      <c r="Q616" t="s">
        <v>29</v>
      </c>
      <c r="R616" t="s">
        <v>47</v>
      </c>
      <c r="S616">
        <v>10</v>
      </c>
      <c r="T616">
        <v>8</v>
      </c>
      <c r="U616" t="s">
        <v>48</v>
      </c>
      <c r="V616" t="str">
        <f t="shared" si="9"/>
        <v>Jun-2024</v>
      </c>
      <c r="W616" s="16">
        <f>Table1[[#This Row],[Consultation Date]] - Table1[[#This Row],[Appointment Date]]</f>
        <v>0.25</v>
      </c>
    </row>
    <row r="617" spans="1:23" x14ac:dyDescent="0.3">
      <c r="A617" t="s">
        <v>674</v>
      </c>
      <c r="B617">
        <v>25</v>
      </c>
      <c r="C617" t="s">
        <v>52</v>
      </c>
      <c r="D617" s="2">
        <v>45122</v>
      </c>
      <c r="E617" s="2">
        <v>45133</v>
      </c>
      <c r="F617">
        <v>11</v>
      </c>
      <c r="G617" t="s">
        <v>23</v>
      </c>
      <c r="H617">
        <v>3</v>
      </c>
      <c r="I617" t="s">
        <v>66</v>
      </c>
      <c r="J617">
        <v>16735</v>
      </c>
      <c r="K617" t="s">
        <v>53</v>
      </c>
      <c r="L617" t="s">
        <v>54</v>
      </c>
      <c r="M617" t="s">
        <v>27</v>
      </c>
      <c r="N617" s="2">
        <v>45206</v>
      </c>
      <c r="O617" s="2">
        <v>45237.958333333336</v>
      </c>
      <c r="P617" t="s">
        <v>28</v>
      </c>
      <c r="Q617" t="s">
        <v>29</v>
      </c>
      <c r="R617" t="s">
        <v>47</v>
      </c>
      <c r="S617">
        <v>6</v>
      </c>
      <c r="T617">
        <v>8</v>
      </c>
      <c r="U617" t="s">
        <v>31</v>
      </c>
      <c r="V617" t="str">
        <f t="shared" si="9"/>
        <v>Jul-2023</v>
      </c>
      <c r="W617" s="16">
        <f>Table1[[#This Row],[Consultation Date]] - Table1[[#This Row],[Appointment Date]]</f>
        <v>31.958333333335759</v>
      </c>
    </row>
    <row r="618" spans="1:23" x14ac:dyDescent="0.3">
      <c r="A618" t="s">
        <v>675</v>
      </c>
      <c r="B618">
        <v>56</v>
      </c>
      <c r="C618" t="s">
        <v>33</v>
      </c>
      <c r="D618" s="2">
        <v>45014</v>
      </c>
      <c r="E618" s="2">
        <v>45029</v>
      </c>
      <c r="F618">
        <v>15</v>
      </c>
      <c r="G618" t="s">
        <v>23</v>
      </c>
      <c r="H618">
        <v>2</v>
      </c>
      <c r="I618" t="s">
        <v>35</v>
      </c>
      <c r="J618">
        <v>35177</v>
      </c>
      <c r="K618" t="s">
        <v>60</v>
      </c>
      <c r="L618" t="s">
        <v>26</v>
      </c>
      <c r="M618" t="s">
        <v>27</v>
      </c>
      <c r="N618" s="2">
        <v>45013</v>
      </c>
      <c r="O618" s="2">
        <v>45013.291666666664</v>
      </c>
      <c r="P618" t="s">
        <v>37</v>
      </c>
      <c r="Q618" t="s">
        <v>29</v>
      </c>
      <c r="R618" t="s">
        <v>47</v>
      </c>
      <c r="S618">
        <v>8</v>
      </c>
      <c r="T618">
        <v>12</v>
      </c>
      <c r="U618" t="s">
        <v>48</v>
      </c>
      <c r="V618" t="str">
        <f t="shared" si="9"/>
        <v>Mar-2023</v>
      </c>
      <c r="W618" s="16">
        <f>Table1[[#This Row],[Consultation Date]] - Table1[[#This Row],[Appointment Date]]</f>
        <v>0.29166666666424135</v>
      </c>
    </row>
    <row r="619" spans="1:23" x14ac:dyDescent="0.3">
      <c r="A619" t="s">
        <v>676</v>
      </c>
      <c r="B619">
        <v>33</v>
      </c>
      <c r="C619" t="s">
        <v>33</v>
      </c>
      <c r="D619" s="2">
        <v>45055</v>
      </c>
      <c r="E619" s="2">
        <v>45183</v>
      </c>
      <c r="F619">
        <v>9</v>
      </c>
      <c r="G619" t="s">
        <v>63</v>
      </c>
      <c r="H619">
        <v>4</v>
      </c>
      <c r="I619" t="s">
        <v>71</v>
      </c>
      <c r="J619">
        <v>35712</v>
      </c>
      <c r="K619" t="s">
        <v>53</v>
      </c>
      <c r="L619" t="s">
        <v>26</v>
      </c>
      <c r="M619" t="s">
        <v>27</v>
      </c>
      <c r="N619" s="2">
        <v>45169</v>
      </c>
      <c r="O619" s="2">
        <v>45169.291666666664</v>
      </c>
      <c r="P619" t="s">
        <v>64</v>
      </c>
      <c r="Q619" t="s">
        <v>29</v>
      </c>
      <c r="R619" t="s">
        <v>43</v>
      </c>
      <c r="S619">
        <v>8</v>
      </c>
      <c r="T619">
        <v>10</v>
      </c>
      <c r="U619" t="s">
        <v>48</v>
      </c>
      <c r="V619" t="str">
        <f t="shared" si="9"/>
        <v>May-2023</v>
      </c>
      <c r="W619" s="16">
        <f>Table1[[#This Row],[Consultation Date]] - Table1[[#This Row],[Appointment Date]]</f>
        <v>0.29166666666424135</v>
      </c>
    </row>
    <row r="620" spans="1:23" x14ac:dyDescent="0.3">
      <c r="A620" t="s">
        <v>677</v>
      </c>
      <c r="B620">
        <v>38</v>
      </c>
      <c r="C620" t="s">
        <v>52</v>
      </c>
      <c r="D620" s="2">
        <v>45343</v>
      </c>
      <c r="E620" s="2">
        <v>45345</v>
      </c>
      <c r="F620">
        <v>2</v>
      </c>
      <c r="G620" t="s">
        <v>34</v>
      </c>
      <c r="H620">
        <v>5</v>
      </c>
      <c r="I620" t="s">
        <v>35</v>
      </c>
      <c r="J620">
        <v>21679</v>
      </c>
      <c r="K620" t="s">
        <v>60</v>
      </c>
      <c r="L620" t="s">
        <v>26</v>
      </c>
      <c r="M620" t="s">
        <v>27</v>
      </c>
      <c r="N620" s="2">
        <v>45339</v>
      </c>
      <c r="O620" s="2">
        <v>45339.875</v>
      </c>
      <c r="P620" t="s">
        <v>42</v>
      </c>
      <c r="Q620" t="s">
        <v>38</v>
      </c>
      <c r="R620" t="s">
        <v>30</v>
      </c>
      <c r="S620">
        <v>10</v>
      </c>
      <c r="T620">
        <v>12</v>
      </c>
      <c r="U620" t="s">
        <v>68</v>
      </c>
      <c r="V620" t="str">
        <f t="shared" si="9"/>
        <v>Feb-2024</v>
      </c>
      <c r="W620" s="16">
        <f>Table1[[#This Row],[Consultation Date]] - Table1[[#This Row],[Appointment Date]]</f>
        <v>0.875</v>
      </c>
    </row>
    <row r="621" spans="1:23" x14ac:dyDescent="0.3">
      <c r="A621" t="s">
        <v>678</v>
      </c>
      <c r="B621">
        <v>6</v>
      </c>
      <c r="C621" t="s">
        <v>62</v>
      </c>
      <c r="D621" s="2">
        <v>45427</v>
      </c>
      <c r="E621" s="2">
        <v>45438</v>
      </c>
      <c r="F621">
        <v>11</v>
      </c>
      <c r="G621" t="s">
        <v>57</v>
      </c>
      <c r="H621">
        <v>3</v>
      </c>
      <c r="I621" t="s">
        <v>46</v>
      </c>
      <c r="J621">
        <v>48013</v>
      </c>
      <c r="K621" t="s">
        <v>67</v>
      </c>
      <c r="L621" t="s">
        <v>54</v>
      </c>
      <c r="M621" t="s">
        <v>27</v>
      </c>
      <c r="N621" s="2">
        <v>45631</v>
      </c>
      <c r="O621" s="2">
        <v>45425</v>
      </c>
      <c r="P621" t="s">
        <v>42</v>
      </c>
      <c r="Q621" t="s">
        <v>29</v>
      </c>
      <c r="R621" t="s">
        <v>30</v>
      </c>
      <c r="S621">
        <v>6</v>
      </c>
      <c r="T621">
        <v>8</v>
      </c>
      <c r="U621" t="s">
        <v>48</v>
      </c>
      <c r="V621" t="str">
        <f t="shared" si="9"/>
        <v>May-2024</v>
      </c>
      <c r="W621" s="16">
        <f>Table1[[#This Row],[Consultation Date]] - Table1[[#This Row],[Appointment Date]]</f>
        <v>-206</v>
      </c>
    </row>
    <row r="622" spans="1:23" x14ac:dyDescent="0.3">
      <c r="A622" t="s">
        <v>679</v>
      </c>
      <c r="B622">
        <v>58</v>
      </c>
      <c r="C622" t="s">
        <v>52</v>
      </c>
      <c r="D622" s="2">
        <v>45025</v>
      </c>
      <c r="E622" s="2">
        <v>45184</v>
      </c>
      <c r="F622">
        <v>11</v>
      </c>
      <c r="G622" t="s">
        <v>50</v>
      </c>
      <c r="H622">
        <v>2</v>
      </c>
      <c r="I622" t="s">
        <v>35</v>
      </c>
      <c r="J622">
        <v>40365</v>
      </c>
      <c r="K622" t="s">
        <v>67</v>
      </c>
      <c r="L622" t="s">
        <v>54</v>
      </c>
      <c r="M622" t="s">
        <v>27</v>
      </c>
      <c r="N622" s="2">
        <v>45025</v>
      </c>
      <c r="O622" s="2">
        <v>45025.833333333336</v>
      </c>
      <c r="P622" t="s">
        <v>64</v>
      </c>
      <c r="Q622" t="s">
        <v>29</v>
      </c>
      <c r="R622" t="s">
        <v>30</v>
      </c>
      <c r="S622">
        <v>10</v>
      </c>
      <c r="T622">
        <v>12</v>
      </c>
      <c r="U622" t="s">
        <v>31</v>
      </c>
      <c r="V622" t="str">
        <f t="shared" si="9"/>
        <v>Apr-2023</v>
      </c>
      <c r="W622" s="16">
        <f>Table1[[#This Row],[Consultation Date]] - Table1[[#This Row],[Appointment Date]]</f>
        <v>0.83333333333575865</v>
      </c>
    </row>
    <row r="623" spans="1:23" x14ac:dyDescent="0.3">
      <c r="A623" t="s">
        <v>680</v>
      </c>
      <c r="B623">
        <v>44</v>
      </c>
      <c r="C623" t="s">
        <v>33</v>
      </c>
      <c r="D623" s="2">
        <v>45327</v>
      </c>
      <c r="E623" s="2">
        <v>45540</v>
      </c>
      <c r="F623">
        <v>7</v>
      </c>
      <c r="G623" t="s">
        <v>50</v>
      </c>
      <c r="H623">
        <v>1</v>
      </c>
      <c r="I623" t="s">
        <v>46</v>
      </c>
      <c r="J623">
        <v>22064</v>
      </c>
      <c r="K623" t="s">
        <v>36</v>
      </c>
      <c r="L623" t="s">
        <v>54</v>
      </c>
      <c r="M623" t="s">
        <v>27</v>
      </c>
      <c r="N623" s="2">
        <v>45410</v>
      </c>
      <c r="O623" s="2">
        <v>45410.375</v>
      </c>
      <c r="P623" t="s">
        <v>42</v>
      </c>
      <c r="Q623" t="s">
        <v>29</v>
      </c>
      <c r="R623" t="s">
        <v>43</v>
      </c>
      <c r="S623">
        <v>7</v>
      </c>
      <c r="T623">
        <v>8</v>
      </c>
      <c r="U623" t="s">
        <v>48</v>
      </c>
      <c r="V623" t="str">
        <f t="shared" si="9"/>
        <v>Feb-2024</v>
      </c>
      <c r="W623" s="16">
        <f>Table1[[#This Row],[Consultation Date]] - Table1[[#This Row],[Appointment Date]]</f>
        <v>0.375</v>
      </c>
    </row>
    <row r="624" spans="1:23" x14ac:dyDescent="0.3">
      <c r="A624" t="s">
        <v>681</v>
      </c>
      <c r="B624">
        <v>45</v>
      </c>
      <c r="C624" t="s">
        <v>62</v>
      </c>
      <c r="D624" s="2">
        <v>45429</v>
      </c>
      <c r="E624" s="2">
        <v>45438</v>
      </c>
      <c r="F624">
        <v>9</v>
      </c>
      <c r="G624" t="s">
        <v>23</v>
      </c>
      <c r="H624">
        <v>5</v>
      </c>
      <c r="I624" t="s">
        <v>46</v>
      </c>
      <c r="J624">
        <v>35563</v>
      </c>
      <c r="K624" t="s">
        <v>60</v>
      </c>
      <c r="L624" t="s">
        <v>26</v>
      </c>
      <c r="M624" t="s">
        <v>27</v>
      </c>
      <c r="N624" s="2">
        <v>45426</v>
      </c>
      <c r="O624" s="2">
        <v>45427.041666666664</v>
      </c>
      <c r="P624" t="s">
        <v>37</v>
      </c>
      <c r="Q624" t="s">
        <v>38</v>
      </c>
      <c r="R624" t="s">
        <v>30</v>
      </c>
      <c r="S624">
        <v>6</v>
      </c>
      <c r="T624">
        <v>8</v>
      </c>
      <c r="U624" t="s">
        <v>48</v>
      </c>
      <c r="V624" t="str">
        <f t="shared" si="9"/>
        <v>May-2024</v>
      </c>
      <c r="W624" s="16">
        <f>Table1[[#This Row],[Consultation Date]] - Table1[[#This Row],[Appointment Date]]</f>
        <v>1.0416666666642413</v>
      </c>
    </row>
    <row r="625" spans="1:23" x14ac:dyDescent="0.3">
      <c r="A625" t="s">
        <v>682</v>
      </c>
      <c r="B625">
        <v>32</v>
      </c>
      <c r="C625" t="s">
        <v>62</v>
      </c>
      <c r="D625" s="2">
        <v>45355</v>
      </c>
      <c r="E625" s="2">
        <v>45539</v>
      </c>
      <c r="F625">
        <v>6</v>
      </c>
      <c r="G625" t="s">
        <v>50</v>
      </c>
      <c r="H625">
        <v>1</v>
      </c>
      <c r="I625" t="s">
        <v>46</v>
      </c>
      <c r="J625">
        <v>38092</v>
      </c>
      <c r="K625" t="s">
        <v>25</v>
      </c>
      <c r="L625" t="s">
        <v>54</v>
      </c>
      <c r="M625" t="s">
        <v>27</v>
      </c>
      <c r="N625" s="2">
        <v>45355</v>
      </c>
      <c r="O625" s="2">
        <v>45355.375</v>
      </c>
      <c r="P625" t="s">
        <v>55</v>
      </c>
      <c r="Q625" t="s">
        <v>29</v>
      </c>
      <c r="R625" t="s">
        <v>30</v>
      </c>
      <c r="S625">
        <v>10</v>
      </c>
      <c r="T625">
        <v>8</v>
      </c>
      <c r="U625" t="s">
        <v>68</v>
      </c>
      <c r="V625" t="str">
        <f t="shared" si="9"/>
        <v>Mar-2024</v>
      </c>
      <c r="W625" s="16">
        <f>Table1[[#This Row],[Consultation Date]] - Table1[[#This Row],[Appointment Date]]</f>
        <v>0.375</v>
      </c>
    </row>
    <row r="626" spans="1:23" x14ac:dyDescent="0.3">
      <c r="A626" t="s">
        <v>683</v>
      </c>
      <c r="B626">
        <v>45</v>
      </c>
      <c r="C626" t="s">
        <v>52</v>
      </c>
      <c r="D626" s="2">
        <v>44944</v>
      </c>
      <c r="E626" s="2">
        <v>44945</v>
      </c>
      <c r="F626">
        <v>1</v>
      </c>
      <c r="G626" t="s">
        <v>34</v>
      </c>
      <c r="H626">
        <v>2</v>
      </c>
      <c r="I626" t="s">
        <v>71</v>
      </c>
      <c r="J626">
        <v>31867</v>
      </c>
      <c r="K626" t="s">
        <v>36</v>
      </c>
      <c r="L626" t="s">
        <v>26</v>
      </c>
      <c r="M626" t="s">
        <v>27</v>
      </c>
      <c r="N626" s="2">
        <v>44941</v>
      </c>
      <c r="O626" s="2">
        <v>44942.75</v>
      </c>
      <c r="P626" t="s">
        <v>28</v>
      </c>
      <c r="Q626" t="s">
        <v>29</v>
      </c>
      <c r="R626" t="s">
        <v>30</v>
      </c>
      <c r="S626">
        <v>9</v>
      </c>
      <c r="T626">
        <v>10</v>
      </c>
      <c r="U626" t="s">
        <v>31</v>
      </c>
      <c r="V626" t="str">
        <f t="shared" si="9"/>
        <v>Jan-2023</v>
      </c>
      <c r="W626" s="16">
        <f>Table1[[#This Row],[Consultation Date]] - Table1[[#This Row],[Appointment Date]]</f>
        <v>1.75</v>
      </c>
    </row>
    <row r="627" spans="1:23" x14ac:dyDescent="0.3">
      <c r="A627" t="s">
        <v>684</v>
      </c>
      <c r="B627">
        <v>61</v>
      </c>
      <c r="C627" t="s">
        <v>33</v>
      </c>
      <c r="D627" s="2">
        <v>45081</v>
      </c>
      <c r="E627" s="2">
        <v>45264</v>
      </c>
      <c r="F627">
        <v>6</v>
      </c>
      <c r="G627" t="s">
        <v>34</v>
      </c>
      <c r="H627">
        <v>2</v>
      </c>
      <c r="I627" t="s">
        <v>35</v>
      </c>
      <c r="J627">
        <v>38754</v>
      </c>
      <c r="K627" t="s">
        <v>67</v>
      </c>
      <c r="L627" t="s">
        <v>54</v>
      </c>
      <c r="M627" t="s">
        <v>27</v>
      </c>
      <c r="N627" s="2">
        <v>45050</v>
      </c>
      <c r="O627" s="2">
        <v>45081.833333333336</v>
      </c>
      <c r="P627" t="s">
        <v>64</v>
      </c>
      <c r="Q627" t="s">
        <v>29</v>
      </c>
      <c r="R627" t="s">
        <v>30</v>
      </c>
      <c r="S627">
        <v>5</v>
      </c>
      <c r="T627">
        <v>10</v>
      </c>
      <c r="U627" t="s">
        <v>68</v>
      </c>
      <c r="V627" t="str">
        <f t="shared" si="9"/>
        <v>Jun-2023</v>
      </c>
      <c r="W627" s="16">
        <f>Table1[[#This Row],[Consultation Date]] - Table1[[#This Row],[Appointment Date]]</f>
        <v>31.833333333335759</v>
      </c>
    </row>
    <row r="628" spans="1:23" x14ac:dyDescent="0.3">
      <c r="A628" t="s">
        <v>685</v>
      </c>
      <c r="B628">
        <v>47</v>
      </c>
      <c r="C628" t="s">
        <v>45</v>
      </c>
      <c r="D628" s="2">
        <v>45228</v>
      </c>
      <c r="E628" s="2">
        <v>44996</v>
      </c>
      <c r="F628">
        <v>5</v>
      </c>
      <c r="G628" t="s">
        <v>40</v>
      </c>
      <c r="H628">
        <v>3</v>
      </c>
      <c r="I628" t="s">
        <v>35</v>
      </c>
      <c r="J628">
        <v>24502</v>
      </c>
      <c r="K628" t="s">
        <v>60</v>
      </c>
      <c r="L628" t="s">
        <v>54</v>
      </c>
      <c r="M628" t="s">
        <v>27</v>
      </c>
      <c r="N628" s="2">
        <v>45224</v>
      </c>
      <c r="O628" s="2">
        <v>45224.416666666664</v>
      </c>
      <c r="P628" t="s">
        <v>28</v>
      </c>
      <c r="Q628" t="s">
        <v>29</v>
      </c>
      <c r="R628" t="s">
        <v>43</v>
      </c>
      <c r="S628">
        <v>9</v>
      </c>
      <c r="T628">
        <v>10</v>
      </c>
      <c r="U628" t="s">
        <v>48</v>
      </c>
      <c r="V628" t="str">
        <f t="shared" si="9"/>
        <v>Oct-2023</v>
      </c>
      <c r="W628" s="16">
        <f>Table1[[#This Row],[Consultation Date]] - Table1[[#This Row],[Appointment Date]]</f>
        <v>0.41666666666424135</v>
      </c>
    </row>
    <row r="629" spans="1:23" x14ac:dyDescent="0.3">
      <c r="A629" t="s">
        <v>686</v>
      </c>
      <c r="B629">
        <v>21</v>
      </c>
      <c r="C629" t="s">
        <v>33</v>
      </c>
      <c r="D629" s="2">
        <v>45153</v>
      </c>
      <c r="E629" s="2">
        <v>45156</v>
      </c>
      <c r="F629">
        <v>3</v>
      </c>
      <c r="G629" t="s">
        <v>40</v>
      </c>
      <c r="H629">
        <v>4</v>
      </c>
      <c r="I629" t="s">
        <v>71</v>
      </c>
      <c r="J629">
        <v>5760</v>
      </c>
      <c r="K629" t="s">
        <v>36</v>
      </c>
      <c r="L629" t="s">
        <v>54</v>
      </c>
      <c r="M629" t="s">
        <v>41</v>
      </c>
      <c r="N629" s="2">
        <v>45268</v>
      </c>
      <c r="O629" s="2">
        <v>45268.208333333336</v>
      </c>
      <c r="P629" t="s">
        <v>55</v>
      </c>
      <c r="Q629" t="s">
        <v>29</v>
      </c>
      <c r="R629" t="s">
        <v>47</v>
      </c>
      <c r="S629">
        <v>5</v>
      </c>
      <c r="T629">
        <v>12</v>
      </c>
      <c r="U629" t="s">
        <v>68</v>
      </c>
      <c r="V629" t="str">
        <f t="shared" si="9"/>
        <v>Aug-2023</v>
      </c>
      <c r="W629" s="16">
        <f>Table1[[#This Row],[Consultation Date]] - Table1[[#This Row],[Appointment Date]]</f>
        <v>0.20833333333575865</v>
      </c>
    </row>
    <row r="630" spans="1:23" x14ac:dyDescent="0.3">
      <c r="A630" t="s">
        <v>687</v>
      </c>
      <c r="B630">
        <v>80</v>
      </c>
      <c r="C630" t="s">
        <v>22</v>
      </c>
      <c r="D630" s="2">
        <v>45341</v>
      </c>
      <c r="E630" s="2">
        <v>45345</v>
      </c>
      <c r="F630">
        <v>4</v>
      </c>
      <c r="G630" t="s">
        <v>50</v>
      </c>
      <c r="H630">
        <v>1</v>
      </c>
      <c r="I630" t="s">
        <v>66</v>
      </c>
      <c r="J630">
        <v>29142</v>
      </c>
      <c r="K630" t="s">
        <v>60</v>
      </c>
      <c r="L630" t="s">
        <v>26</v>
      </c>
      <c r="M630" t="s">
        <v>27</v>
      </c>
      <c r="N630" s="2">
        <v>45338</v>
      </c>
      <c r="O630" s="2">
        <v>45339.416666666664</v>
      </c>
      <c r="P630" t="s">
        <v>64</v>
      </c>
      <c r="Q630" t="s">
        <v>29</v>
      </c>
      <c r="R630" t="s">
        <v>47</v>
      </c>
      <c r="S630">
        <v>6</v>
      </c>
      <c r="T630">
        <v>8</v>
      </c>
      <c r="U630" t="s">
        <v>68</v>
      </c>
      <c r="V630" t="str">
        <f t="shared" si="9"/>
        <v>Feb-2024</v>
      </c>
      <c r="W630" s="16">
        <f>Table1[[#This Row],[Consultation Date]] - Table1[[#This Row],[Appointment Date]]</f>
        <v>1.4166666666642413</v>
      </c>
    </row>
    <row r="631" spans="1:23" x14ac:dyDescent="0.3">
      <c r="A631" t="s">
        <v>688</v>
      </c>
      <c r="B631">
        <v>85</v>
      </c>
      <c r="C631" t="s">
        <v>41</v>
      </c>
      <c r="D631" s="2">
        <v>45116</v>
      </c>
      <c r="E631" s="2">
        <v>45182</v>
      </c>
      <c r="F631">
        <v>6</v>
      </c>
      <c r="G631" t="s">
        <v>57</v>
      </c>
      <c r="H631">
        <v>3</v>
      </c>
      <c r="I631" t="s">
        <v>24</v>
      </c>
      <c r="J631">
        <v>49653</v>
      </c>
      <c r="K631" t="s">
        <v>67</v>
      </c>
      <c r="L631" t="s">
        <v>54</v>
      </c>
      <c r="M631" t="s">
        <v>27</v>
      </c>
      <c r="N631" s="2">
        <v>44994</v>
      </c>
      <c r="O631" s="2">
        <v>45025.541666666664</v>
      </c>
      <c r="P631" t="s">
        <v>55</v>
      </c>
      <c r="Q631" t="s">
        <v>29</v>
      </c>
      <c r="R631" t="s">
        <v>30</v>
      </c>
      <c r="S631">
        <v>9</v>
      </c>
      <c r="T631">
        <v>12</v>
      </c>
      <c r="U631" t="s">
        <v>68</v>
      </c>
      <c r="V631" t="str">
        <f t="shared" si="9"/>
        <v>Jul-2023</v>
      </c>
      <c r="W631" s="16">
        <f>Table1[[#This Row],[Consultation Date]] - Table1[[#This Row],[Appointment Date]]</f>
        <v>31.541666666664241</v>
      </c>
    </row>
    <row r="632" spans="1:23" x14ac:dyDescent="0.3">
      <c r="A632" t="s">
        <v>689</v>
      </c>
      <c r="B632">
        <v>75</v>
      </c>
      <c r="C632" t="s">
        <v>45</v>
      </c>
      <c r="D632" s="2">
        <v>45210</v>
      </c>
      <c r="E632" s="2">
        <v>45253</v>
      </c>
      <c r="F632">
        <v>13</v>
      </c>
      <c r="G632" t="s">
        <v>40</v>
      </c>
      <c r="H632">
        <v>5</v>
      </c>
      <c r="I632" t="s">
        <v>35</v>
      </c>
      <c r="J632">
        <v>46996</v>
      </c>
      <c r="K632" t="s">
        <v>36</v>
      </c>
      <c r="L632" t="s">
        <v>26</v>
      </c>
      <c r="M632" t="s">
        <v>27</v>
      </c>
      <c r="N632" s="2">
        <v>45210</v>
      </c>
      <c r="O632" s="2">
        <v>45210.041666666664</v>
      </c>
      <c r="P632" t="s">
        <v>42</v>
      </c>
      <c r="Q632" t="s">
        <v>29</v>
      </c>
      <c r="R632" t="s">
        <v>30</v>
      </c>
      <c r="S632">
        <v>7</v>
      </c>
      <c r="T632">
        <v>12</v>
      </c>
      <c r="U632" t="s">
        <v>68</v>
      </c>
      <c r="V632" t="str">
        <f t="shared" si="9"/>
        <v>Oct-2023</v>
      </c>
      <c r="W632" s="16">
        <f>Table1[[#This Row],[Consultation Date]] - Table1[[#This Row],[Appointment Date]]</f>
        <v>4.1666666664241347E-2</v>
      </c>
    </row>
    <row r="633" spans="1:23" x14ac:dyDescent="0.3">
      <c r="A633" t="s">
        <v>690</v>
      </c>
      <c r="B633">
        <v>36</v>
      </c>
      <c r="C633" t="s">
        <v>62</v>
      </c>
      <c r="D633" s="2">
        <v>45304</v>
      </c>
      <c r="E633" s="2">
        <v>45312</v>
      </c>
      <c r="F633">
        <v>8</v>
      </c>
      <c r="G633" t="s">
        <v>40</v>
      </c>
      <c r="H633">
        <v>4</v>
      </c>
      <c r="I633" t="s">
        <v>24</v>
      </c>
      <c r="J633">
        <v>22290</v>
      </c>
      <c r="K633" t="s">
        <v>67</v>
      </c>
      <c r="L633" t="s">
        <v>54</v>
      </c>
      <c r="M633" t="s">
        <v>27</v>
      </c>
      <c r="N633" s="2">
        <v>45536</v>
      </c>
      <c r="O633" s="2">
        <v>45566.666666666664</v>
      </c>
      <c r="P633" t="s">
        <v>42</v>
      </c>
      <c r="Q633" t="s">
        <v>29</v>
      </c>
      <c r="R633" t="s">
        <v>30</v>
      </c>
      <c r="S633">
        <v>11</v>
      </c>
      <c r="T633">
        <v>8</v>
      </c>
      <c r="U633" t="s">
        <v>48</v>
      </c>
      <c r="V633" t="str">
        <f t="shared" si="9"/>
        <v>Jan-2024</v>
      </c>
      <c r="W633" s="16">
        <f>Table1[[#This Row],[Consultation Date]] - Table1[[#This Row],[Appointment Date]]</f>
        <v>30.666666666664241</v>
      </c>
    </row>
    <row r="634" spans="1:23" x14ac:dyDescent="0.3">
      <c r="A634" t="s">
        <v>691</v>
      </c>
      <c r="B634">
        <v>19</v>
      </c>
      <c r="C634" t="s">
        <v>45</v>
      </c>
      <c r="D634" s="2">
        <v>45411</v>
      </c>
      <c r="E634" s="2">
        <v>45356</v>
      </c>
      <c r="F634">
        <v>4</v>
      </c>
      <c r="G634" t="s">
        <v>34</v>
      </c>
      <c r="H634">
        <v>3</v>
      </c>
      <c r="I634" t="s">
        <v>71</v>
      </c>
      <c r="J634">
        <v>10499</v>
      </c>
      <c r="K634" t="s">
        <v>53</v>
      </c>
      <c r="L634" t="s">
        <v>26</v>
      </c>
      <c r="M634" t="s">
        <v>27</v>
      </c>
      <c r="N634" s="2">
        <v>45408</v>
      </c>
      <c r="O634" s="2">
        <v>45409.75</v>
      </c>
      <c r="P634" t="s">
        <v>42</v>
      </c>
      <c r="Q634" t="s">
        <v>29</v>
      </c>
      <c r="R634" t="s">
        <v>43</v>
      </c>
      <c r="S634">
        <v>9</v>
      </c>
      <c r="T634">
        <v>12</v>
      </c>
      <c r="U634" t="s">
        <v>48</v>
      </c>
      <c r="V634" t="str">
        <f t="shared" si="9"/>
        <v>Apr-2024</v>
      </c>
      <c r="W634" s="16">
        <f>Table1[[#This Row],[Consultation Date]] - Table1[[#This Row],[Appointment Date]]</f>
        <v>1.75</v>
      </c>
    </row>
    <row r="635" spans="1:23" x14ac:dyDescent="0.3">
      <c r="A635" t="s">
        <v>692</v>
      </c>
      <c r="B635">
        <v>20</v>
      </c>
      <c r="C635" t="s">
        <v>62</v>
      </c>
      <c r="D635" s="2">
        <v>45279</v>
      </c>
      <c r="E635" s="2">
        <v>45283</v>
      </c>
      <c r="F635">
        <v>4</v>
      </c>
      <c r="G635" t="s">
        <v>57</v>
      </c>
      <c r="H635">
        <v>1</v>
      </c>
      <c r="I635" t="s">
        <v>66</v>
      </c>
      <c r="J635">
        <v>5364</v>
      </c>
      <c r="K635" t="s">
        <v>67</v>
      </c>
      <c r="L635" t="s">
        <v>26</v>
      </c>
      <c r="M635" t="s">
        <v>27</v>
      </c>
      <c r="N635" s="2">
        <v>45274</v>
      </c>
      <c r="O635" s="2">
        <v>45274.458333333336</v>
      </c>
      <c r="P635" t="s">
        <v>55</v>
      </c>
      <c r="Q635" t="s">
        <v>29</v>
      </c>
      <c r="R635" t="s">
        <v>30</v>
      </c>
      <c r="S635">
        <v>8</v>
      </c>
      <c r="T635">
        <v>8</v>
      </c>
      <c r="U635" t="s">
        <v>31</v>
      </c>
      <c r="V635" t="str">
        <f t="shared" si="9"/>
        <v>Dec-2023</v>
      </c>
      <c r="W635" s="16">
        <f>Table1[[#This Row],[Consultation Date]] - Table1[[#This Row],[Appointment Date]]</f>
        <v>0.45833333333575865</v>
      </c>
    </row>
    <row r="636" spans="1:23" x14ac:dyDescent="0.3">
      <c r="A636" t="s">
        <v>693</v>
      </c>
      <c r="B636">
        <v>57</v>
      </c>
      <c r="C636" t="s">
        <v>62</v>
      </c>
      <c r="D636" s="2">
        <v>45599</v>
      </c>
      <c r="E636" s="2">
        <v>45365</v>
      </c>
      <c r="F636">
        <v>3</v>
      </c>
      <c r="G636" t="s">
        <v>23</v>
      </c>
      <c r="H636">
        <v>2</v>
      </c>
      <c r="I636" t="s">
        <v>66</v>
      </c>
      <c r="J636">
        <v>24797</v>
      </c>
      <c r="K636" t="s">
        <v>60</v>
      </c>
      <c r="L636" t="s">
        <v>26</v>
      </c>
      <c r="M636" t="s">
        <v>41</v>
      </c>
      <c r="N636" s="2">
        <v>45538</v>
      </c>
      <c r="O636" s="2">
        <v>45568.208333333336</v>
      </c>
      <c r="P636" t="s">
        <v>55</v>
      </c>
      <c r="Q636" t="s">
        <v>38</v>
      </c>
      <c r="R636" t="s">
        <v>43</v>
      </c>
      <c r="S636">
        <v>11</v>
      </c>
      <c r="T636">
        <v>8</v>
      </c>
      <c r="U636" t="s">
        <v>68</v>
      </c>
      <c r="V636" t="str">
        <f t="shared" si="9"/>
        <v>Nov-2024</v>
      </c>
      <c r="W636" s="16">
        <f>Table1[[#This Row],[Consultation Date]] - Table1[[#This Row],[Appointment Date]]</f>
        <v>30.208333333335759</v>
      </c>
    </row>
    <row r="637" spans="1:23" x14ac:dyDescent="0.3">
      <c r="A637" t="s">
        <v>694</v>
      </c>
      <c r="B637">
        <v>18</v>
      </c>
      <c r="C637" t="s">
        <v>45</v>
      </c>
      <c r="D637" s="2">
        <v>45058</v>
      </c>
      <c r="E637" s="2">
        <v>45150</v>
      </c>
      <c r="F637">
        <v>3</v>
      </c>
      <c r="G637" t="s">
        <v>50</v>
      </c>
      <c r="H637">
        <v>5</v>
      </c>
      <c r="I637" t="s">
        <v>66</v>
      </c>
      <c r="J637">
        <v>45795</v>
      </c>
      <c r="K637" t="s">
        <v>25</v>
      </c>
      <c r="L637" t="s">
        <v>26</v>
      </c>
      <c r="M637" t="s">
        <v>27</v>
      </c>
      <c r="N637" s="2">
        <v>45260</v>
      </c>
      <c r="O637" s="2">
        <v>45260.958333333336</v>
      </c>
      <c r="P637" t="s">
        <v>55</v>
      </c>
      <c r="Q637" t="s">
        <v>29</v>
      </c>
      <c r="R637" t="s">
        <v>30</v>
      </c>
      <c r="S637">
        <v>11</v>
      </c>
      <c r="T637">
        <v>8</v>
      </c>
      <c r="U637" t="s">
        <v>68</v>
      </c>
      <c r="V637" t="str">
        <f t="shared" si="9"/>
        <v>May-2023</v>
      </c>
      <c r="W637" s="16">
        <f>Table1[[#This Row],[Consultation Date]] - Table1[[#This Row],[Appointment Date]]</f>
        <v>0.95833333333575865</v>
      </c>
    </row>
    <row r="638" spans="1:23" x14ac:dyDescent="0.3">
      <c r="A638" t="s">
        <v>695</v>
      </c>
      <c r="B638">
        <v>47</v>
      </c>
      <c r="C638" t="s">
        <v>62</v>
      </c>
      <c r="D638" s="2">
        <v>45287</v>
      </c>
      <c r="E638" s="2">
        <v>45289</v>
      </c>
      <c r="F638">
        <v>2</v>
      </c>
      <c r="G638" t="s">
        <v>40</v>
      </c>
      <c r="H638">
        <v>1</v>
      </c>
      <c r="I638" t="s">
        <v>71</v>
      </c>
      <c r="J638">
        <v>37535</v>
      </c>
      <c r="K638" t="s">
        <v>67</v>
      </c>
      <c r="L638" t="s">
        <v>54</v>
      </c>
      <c r="M638" t="s">
        <v>27</v>
      </c>
      <c r="N638" s="2">
        <v>45287</v>
      </c>
      <c r="O638" s="2">
        <v>45288.958333333336</v>
      </c>
      <c r="P638" t="s">
        <v>28</v>
      </c>
      <c r="Q638" t="s">
        <v>29</v>
      </c>
      <c r="R638" t="s">
        <v>30</v>
      </c>
      <c r="S638">
        <v>5</v>
      </c>
      <c r="T638">
        <v>8</v>
      </c>
      <c r="U638" t="s">
        <v>31</v>
      </c>
      <c r="V638" t="str">
        <f t="shared" si="9"/>
        <v>Dec-2023</v>
      </c>
      <c r="W638" s="16">
        <f>Table1[[#This Row],[Consultation Date]] - Table1[[#This Row],[Appointment Date]]</f>
        <v>1.9583333333357587</v>
      </c>
    </row>
    <row r="639" spans="1:23" x14ac:dyDescent="0.3">
      <c r="A639" t="s">
        <v>696</v>
      </c>
      <c r="B639">
        <v>49</v>
      </c>
      <c r="C639" t="s">
        <v>62</v>
      </c>
      <c r="D639" s="2">
        <v>45539</v>
      </c>
      <c r="E639" s="2">
        <v>45396</v>
      </c>
      <c r="F639">
        <v>5</v>
      </c>
      <c r="G639" t="s">
        <v>57</v>
      </c>
      <c r="H639">
        <v>4</v>
      </c>
      <c r="I639" t="s">
        <v>46</v>
      </c>
      <c r="J639">
        <v>21105</v>
      </c>
      <c r="K639" t="s">
        <v>25</v>
      </c>
      <c r="L639" t="s">
        <v>54</v>
      </c>
      <c r="M639" t="s">
        <v>41</v>
      </c>
      <c r="N639" s="2">
        <v>45447</v>
      </c>
      <c r="O639" s="2">
        <v>45447.583333333336</v>
      </c>
      <c r="P639" t="s">
        <v>55</v>
      </c>
      <c r="Q639" t="s">
        <v>29</v>
      </c>
      <c r="R639" t="s">
        <v>47</v>
      </c>
      <c r="S639">
        <v>5</v>
      </c>
      <c r="T639">
        <v>12</v>
      </c>
      <c r="U639" t="s">
        <v>68</v>
      </c>
      <c r="V639" t="str">
        <f t="shared" si="9"/>
        <v>Sep-2024</v>
      </c>
      <c r="W639" s="16">
        <f>Table1[[#This Row],[Consultation Date]] - Table1[[#This Row],[Appointment Date]]</f>
        <v>0.58333333333575865</v>
      </c>
    </row>
    <row r="640" spans="1:23" x14ac:dyDescent="0.3">
      <c r="A640" t="s">
        <v>697</v>
      </c>
      <c r="B640">
        <v>14</v>
      </c>
      <c r="C640" t="s">
        <v>22</v>
      </c>
      <c r="D640" s="2">
        <v>45056</v>
      </c>
      <c r="E640" s="2">
        <v>45218</v>
      </c>
      <c r="F640">
        <v>14</v>
      </c>
      <c r="G640" t="s">
        <v>57</v>
      </c>
      <c r="H640">
        <v>4</v>
      </c>
      <c r="I640" t="s">
        <v>46</v>
      </c>
      <c r="J640">
        <v>12939</v>
      </c>
      <c r="K640" t="s">
        <v>53</v>
      </c>
      <c r="L640" t="s">
        <v>54</v>
      </c>
      <c r="M640" t="s">
        <v>41</v>
      </c>
      <c r="N640" s="2">
        <v>44995</v>
      </c>
      <c r="O640" s="2">
        <v>45026.708333333336</v>
      </c>
      <c r="P640" t="s">
        <v>42</v>
      </c>
      <c r="Q640" t="s">
        <v>29</v>
      </c>
      <c r="R640" t="s">
        <v>30</v>
      </c>
      <c r="S640">
        <v>10</v>
      </c>
      <c r="T640">
        <v>12</v>
      </c>
      <c r="U640" t="s">
        <v>31</v>
      </c>
      <c r="V640" t="str">
        <f t="shared" si="9"/>
        <v>May-2023</v>
      </c>
      <c r="W640" s="16">
        <f>Table1[[#This Row],[Consultation Date]] - Table1[[#This Row],[Appointment Date]]</f>
        <v>31.708333333335759</v>
      </c>
    </row>
    <row r="641" spans="1:23" x14ac:dyDescent="0.3">
      <c r="A641" t="s">
        <v>698</v>
      </c>
      <c r="B641">
        <v>15</v>
      </c>
      <c r="C641" t="s">
        <v>33</v>
      </c>
      <c r="D641" s="2">
        <v>45210</v>
      </c>
      <c r="E641" s="2">
        <v>45253</v>
      </c>
      <c r="F641">
        <v>13</v>
      </c>
      <c r="G641" t="s">
        <v>50</v>
      </c>
      <c r="H641">
        <v>2</v>
      </c>
      <c r="I641" t="s">
        <v>24</v>
      </c>
      <c r="J641">
        <v>18936</v>
      </c>
      <c r="K641" t="s">
        <v>36</v>
      </c>
      <c r="L641" t="s">
        <v>54</v>
      </c>
      <c r="M641" t="s">
        <v>27</v>
      </c>
      <c r="N641" s="2">
        <v>45210</v>
      </c>
      <c r="O641" s="2">
        <v>45271</v>
      </c>
      <c r="P641" t="s">
        <v>37</v>
      </c>
      <c r="Q641" t="s">
        <v>29</v>
      </c>
      <c r="R641" t="s">
        <v>43</v>
      </c>
      <c r="S641">
        <v>7</v>
      </c>
      <c r="T641">
        <v>12</v>
      </c>
      <c r="U641" t="s">
        <v>48</v>
      </c>
      <c r="V641" t="str">
        <f t="shared" si="9"/>
        <v>Oct-2023</v>
      </c>
      <c r="W641" s="16">
        <f>Table1[[#This Row],[Consultation Date]] - Table1[[#This Row],[Appointment Date]]</f>
        <v>61</v>
      </c>
    </row>
    <row r="642" spans="1:23" x14ac:dyDescent="0.3">
      <c r="A642" t="s">
        <v>699</v>
      </c>
      <c r="B642">
        <v>31</v>
      </c>
      <c r="C642" t="s">
        <v>33</v>
      </c>
      <c r="D642" s="2">
        <v>45184</v>
      </c>
      <c r="E642" s="2">
        <v>45186</v>
      </c>
      <c r="F642">
        <v>2</v>
      </c>
      <c r="G642" t="s">
        <v>57</v>
      </c>
      <c r="H642">
        <v>2</v>
      </c>
      <c r="I642" t="s">
        <v>46</v>
      </c>
      <c r="J642">
        <v>47029</v>
      </c>
      <c r="K642" t="s">
        <v>36</v>
      </c>
      <c r="L642" t="s">
        <v>26</v>
      </c>
      <c r="M642" t="s">
        <v>27</v>
      </c>
      <c r="N642" s="2">
        <v>45208</v>
      </c>
      <c r="O642" s="2">
        <v>45208.416666666664</v>
      </c>
      <c r="P642" t="s">
        <v>55</v>
      </c>
      <c r="Q642" t="s">
        <v>29</v>
      </c>
      <c r="R642" t="s">
        <v>47</v>
      </c>
      <c r="S642">
        <v>5</v>
      </c>
      <c r="T642">
        <v>10</v>
      </c>
      <c r="U642" t="s">
        <v>31</v>
      </c>
      <c r="V642" t="str">
        <f t="shared" ref="V642:V705" si="10">TEXT(D642,"mmm-yyyy")</f>
        <v>Sep-2023</v>
      </c>
      <c r="W642" s="16">
        <f>Table1[[#This Row],[Consultation Date]] - Table1[[#This Row],[Appointment Date]]</f>
        <v>0.41666666666424135</v>
      </c>
    </row>
    <row r="643" spans="1:23" x14ac:dyDescent="0.3">
      <c r="A643" t="s">
        <v>700</v>
      </c>
      <c r="B643">
        <v>1</v>
      </c>
      <c r="C643" t="s">
        <v>41</v>
      </c>
      <c r="D643" s="2">
        <v>45163</v>
      </c>
      <c r="E643" s="2">
        <v>44994</v>
      </c>
      <c r="F643">
        <v>9</v>
      </c>
      <c r="G643" t="s">
        <v>57</v>
      </c>
      <c r="H643">
        <v>5</v>
      </c>
      <c r="I643" t="s">
        <v>46</v>
      </c>
      <c r="J643">
        <v>20863</v>
      </c>
      <c r="K643" t="s">
        <v>25</v>
      </c>
      <c r="L643" t="s">
        <v>54</v>
      </c>
      <c r="M643" t="s">
        <v>41</v>
      </c>
      <c r="N643" s="2">
        <v>45162</v>
      </c>
      <c r="O643" s="2">
        <v>45163.125</v>
      </c>
      <c r="P643" t="s">
        <v>37</v>
      </c>
      <c r="Q643" t="s">
        <v>29</v>
      </c>
      <c r="R643" t="s">
        <v>43</v>
      </c>
      <c r="S643">
        <v>5</v>
      </c>
      <c r="T643">
        <v>12</v>
      </c>
      <c r="U643" t="s">
        <v>68</v>
      </c>
      <c r="V643" t="str">
        <f t="shared" si="10"/>
        <v>Aug-2023</v>
      </c>
      <c r="W643" s="16">
        <f>Table1[[#This Row],[Consultation Date]] - Table1[[#This Row],[Appointment Date]]</f>
        <v>1.125</v>
      </c>
    </row>
    <row r="644" spans="1:23" x14ac:dyDescent="0.3">
      <c r="A644" t="s">
        <v>701</v>
      </c>
      <c r="B644">
        <v>54</v>
      </c>
      <c r="C644" t="s">
        <v>41</v>
      </c>
      <c r="D644" s="2">
        <v>45021</v>
      </c>
      <c r="E644" s="2">
        <v>45063</v>
      </c>
      <c r="F644">
        <v>13</v>
      </c>
      <c r="G644" t="s">
        <v>57</v>
      </c>
      <c r="H644">
        <v>5</v>
      </c>
      <c r="I644" t="s">
        <v>66</v>
      </c>
      <c r="J644">
        <v>17561</v>
      </c>
      <c r="K644" t="s">
        <v>36</v>
      </c>
      <c r="L644" t="s">
        <v>54</v>
      </c>
      <c r="M644" t="s">
        <v>27</v>
      </c>
      <c r="N644" s="2">
        <v>45046</v>
      </c>
      <c r="O644" s="2">
        <v>44931.666666666664</v>
      </c>
      <c r="P644" t="s">
        <v>42</v>
      </c>
      <c r="Q644" t="s">
        <v>29</v>
      </c>
      <c r="R644" t="s">
        <v>47</v>
      </c>
      <c r="S644">
        <v>10</v>
      </c>
      <c r="T644">
        <v>12</v>
      </c>
      <c r="U644" t="s">
        <v>31</v>
      </c>
      <c r="V644" t="str">
        <f t="shared" si="10"/>
        <v>Apr-2023</v>
      </c>
      <c r="W644" s="16">
        <f>Table1[[#This Row],[Consultation Date]] - Table1[[#This Row],[Appointment Date]]</f>
        <v>-114.33333333333576</v>
      </c>
    </row>
    <row r="645" spans="1:23" x14ac:dyDescent="0.3">
      <c r="A645" t="s">
        <v>702</v>
      </c>
      <c r="B645">
        <v>3</v>
      </c>
      <c r="C645" t="s">
        <v>22</v>
      </c>
      <c r="D645" s="2">
        <v>45124</v>
      </c>
      <c r="E645" s="2">
        <v>45133</v>
      </c>
      <c r="F645">
        <v>9</v>
      </c>
      <c r="G645" t="s">
        <v>40</v>
      </c>
      <c r="H645">
        <v>2</v>
      </c>
      <c r="I645" t="s">
        <v>66</v>
      </c>
      <c r="J645">
        <v>15447</v>
      </c>
      <c r="K645" t="s">
        <v>67</v>
      </c>
      <c r="L645" t="s">
        <v>54</v>
      </c>
      <c r="M645" t="s">
        <v>27</v>
      </c>
      <c r="N645" s="2">
        <v>45124</v>
      </c>
      <c r="O645" s="2">
        <v>45125.833333333336</v>
      </c>
      <c r="P645" t="s">
        <v>55</v>
      </c>
      <c r="Q645" t="s">
        <v>29</v>
      </c>
      <c r="R645" t="s">
        <v>43</v>
      </c>
      <c r="S645">
        <v>7</v>
      </c>
      <c r="T645">
        <v>10</v>
      </c>
      <c r="U645" t="s">
        <v>48</v>
      </c>
      <c r="V645" t="str">
        <f t="shared" si="10"/>
        <v>Jul-2023</v>
      </c>
      <c r="W645" s="16">
        <f>Table1[[#This Row],[Consultation Date]] - Table1[[#This Row],[Appointment Date]]</f>
        <v>1.8333333333357587</v>
      </c>
    </row>
    <row r="646" spans="1:23" x14ac:dyDescent="0.3">
      <c r="A646" t="s">
        <v>703</v>
      </c>
      <c r="B646">
        <v>16</v>
      </c>
      <c r="C646" t="s">
        <v>41</v>
      </c>
      <c r="D646" s="2">
        <v>45250</v>
      </c>
      <c r="E646" s="2">
        <v>45028</v>
      </c>
      <c r="F646">
        <v>14</v>
      </c>
      <c r="G646" t="s">
        <v>50</v>
      </c>
      <c r="H646">
        <v>2</v>
      </c>
      <c r="I646" t="s">
        <v>24</v>
      </c>
      <c r="J646">
        <v>35624</v>
      </c>
      <c r="K646" t="s">
        <v>25</v>
      </c>
      <c r="L646" t="s">
        <v>54</v>
      </c>
      <c r="M646" t="s">
        <v>27</v>
      </c>
      <c r="N646" s="2">
        <v>45250</v>
      </c>
      <c r="O646" s="2">
        <v>45251.208333333336</v>
      </c>
      <c r="P646" t="s">
        <v>28</v>
      </c>
      <c r="Q646" t="s">
        <v>29</v>
      </c>
      <c r="R646" t="s">
        <v>47</v>
      </c>
      <c r="S646">
        <v>9</v>
      </c>
      <c r="T646">
        <v>8</v>
      </c>
      <c r="U646" t="s">
        <v>68</v>
      </c>
      <c r="V646" t="str">
        <f t="shared" si="10"/>
        <v>Nov-2023</v>
      </c>
      <c r="W646" s="16">
        <f>Table1[[#This Row],[Consultation Date]] - Table1[[#This Row],[Appointment Date]]</f>
        <v>1.2083333333357587</v>
      </c>
    </row>
    <row r="647" spans="1:23" x14ac:dyDescent="0.3">
      <c r="A647" t="s">
        <v>704</v>
      </c>
      <c r="B647">
        <v>87</v>
      </c>
      <c r="C647" t="s">
        <v>45</v>
      </c>
      <c r="D647" s="2">
        <v>44990</v>
      </c>
      <c r="E647" s="2">
        <v>45061</v>
      </c>
      <c r="F647">
        <v>12</v>
      </c>
      <c r="G647" t="s">
        <v>57</v>
      </c>
      <c r="H647">
        <v>4</v>
      </c>
      <c r="I647" t="s">
        <v>35</v>
      </c>
      <c r="J647">
        <v>49646</v>
      </c>
      <c r="K647" t="s">
        <v>60</v>
      </c>
      <c r="L647" t="s">
        <v>54</v>
      </c>
      <c r="M647" t="s">
        <v>27</v>
      </c>
      <c r="N647" s="2">
        <v>45046</v>
      </c>
      <c r="O647" s="2">
        <v>45046.583333333336</v>
      </c>
      <c r="P647" t="s">
        <v>28</v>
      </c>
      <c r="Q647" t="s">
        <v>29</v>
      </c>
      <c r="R647" t="s">
        <v>43</v>
      </c>
      <c r="S647">
        <v>6</v>
      </c>
      <c r="T647">
        <v>8</v>
      </c>
      <c r="U647" t="s">
        <v>48</v>
      </c>
      <c r="V647" t="str">
        <f t="shared" si="10"/>
        <v>Mar-2023</v>
      </c>
      <c r="W647" s="16">
        <f>Table1[[#This Row],[Consultation Date]] - Table1[[#This Row],[Appointment Date]]</f>
        <v>0.58333333333575865</v>
      </c>
    </row>
    <row r="648" spans="1:23" x14ac:dyDescent="0.3">
      <c r="A648" t="s">
        <v>705</v>
      </c>
      <c r="B648">
        <v>57</v>
      </c>
      <c r="C648" t="s">
        <v>52</v>
      </c>
      <c r="D648" s="2">
        <v>45176</v>
      </c>
      <c r="E648" s="2">
        <v>45131</v>
      </c>
      <c r="F648">
        <v>15</v>
      </c>
      <c r="G648" t="s">
        <v>57</v>
      </c>
      <c r="H648">
        <v>2</v>
      </c>
      <c r="I648" t="s">
        <v>24</v>
      </c>
      <c r="J648">
        <v>17411</v>
      </c>
      <c r="K648" t="s">
        <v>67</v>
      </c>
      <c r="L648" t="s">
        <v>26</v>
      </c>
      <c r="M648" t="s">
        <v>27</v>
      </c>
      <c r="N648" s="2">
        <v>45114</v>
      </c>
      <c r="O648" s="2">
        <v>45114.25</v>
      </c>
      <c r="P648" t="s">
        <v>37</v>
      </c>
      <c r="Q648" t="s">
        <v>29</v>
      </c>
      <c r="R648" t="s">
        <v>43</v>
      </c>
      <c r="S648">
        <v>9</v>
      </c>
      <c r="T648">
        <v>8</v>
      </c>
      <c r="U648" t="s">
        <v>48</v>
      </c>
      <c r="V648" t="str">
        <f t="shared" si="10"/>
        <v>Sep-2023</v>
      </c>
      <c r="W648" s="16">
        <f>Table1[[#This Row],[Consultation Date]] - Table1[[#This Row],[Appointment Date]]</f>
        <v>0.25</v>
      </c>
    </row>
    <row r="649" spans="1:23" x14ac:dyDescent="0.3">
      <c r="A649" t="s">
        <v>706</v>
      </c>
      <c r="B649">
        <v>75</v>
      </c>
      <c r="C649" t="s">
        <v>52</v>
      </c>
      <c r="D649" s="2">
        <v>45123</v>
      </c>
      <c r="E649" s="2">
        <v>45132</v>
      </c>
      <c r="F649">
        <v>9</v>
      </c>
      <c r="G649" t="s">
        <v>40</v>
      </c>
      <c r="H649">
        <v>3</v>
      </c>
      <c r="I649" t="s">
        <v>24</v>
      </c>
      <c r="J649">
        <v>24465</v>
      </c>
      <c r="K649" t="s">
        <v>67</v>
      </c>
      <c r="L649" t="s">
        <v>54</v>
      </c>
      <c r="M649" t="s">
        <v>27</v>
      </c>
      <c r="N649" s="2">
        <v>45237</v>
      </c>
      <c r="O649" s="2">
        <v>45237.291666666664</v>
      </c>
      <c r="P649" t="s">
        <v>28</v>
      </c>
      <c r="Q649" t="s">
        <v>38</v>
      </c>
      <c r="R649" t="s">
        <v>30</v>
      </c>
      <c r="S649">
        <v>8</v>
      </c>
      <c r="T649">
        <v>10</v>
      </c>
      <c r="U649" t="s">
        <v>31</v>
      </c>
      <c r="V649" t="str">
        <f t="shared" si="10"/>
        <v>Jul-2023</v>
      </c>
      <c r="W649" s="16">
        <f>Table1[[#This Row],[Consultation Date]] - Table1[[#This Row],[Appointment Date]]</f>
        <v>0.29166666666424135</v>
      </c>
    </row>
    <row r="650" spans="1:23" x14ac:dyDescent="0.3">
      <c r="A650" t="s">
        <v>707</v>
      </c>
      <c r="B650">
        <v>12</v>
      </c>
      <c r="C650" t="s">
        <v>52</v>
      </c>
      <c r="D650" s="2">
        <v>45207</v>
      </c>
      <c r="E650" s="2">
        <v>45238</v>
      </c>
      <c r="F650">
        <v>1</v>
      </c>
      <c r="G650" t="s">
        <v>50</v>
      </c>
      <c r="H650">
        <v>1</v>
      </c>
      <c r="I650" t="s">
        <v>71</v>
      </c>
      <c r="J650">
        <v>43216</v>
      </c>
      <c r="K650" t="s">
        <v>67</v>
      </c>
      <c r="L650" t="s">
        <v>54</v>
      </c>
      <c r="M650" t="s">
        <v>27</v>
      </c>
      <c r="N650" s="2">
        <v>45207</v>
      </c>
      <c r="O650" s="2">
        <v>45207.375</v>
      </c>
      <c r="P650" t="s">
        <v>28</v>
      </c>
      <c r="Q650" t="s">
        <v>29</v>
      </c>
      <c r="R650" t="s">
        <v>47</v>
      </c>
      <c r="S650">
        <v>8</v>
      </c>
      <c r="T650">
        <v>12</v>
      </c>
      <c r="U650" t="s">
        <v>48</v>
      </c>
      <c r="V650" t="str">
        <f t="shared" si="10"/>
        <v>Oct-2023</v>
      </c>
      <c r="W650" s="16">
        <f>Table1[[#This Row],[Consultation Date]] - Table1[[#This Row],[Appointment Date]]</f>
        <v>0.375</v>
      </c>
    </row>
    <row r="651" spans="1:23" x14ac:dyDescent="0.3">
      <c r="A651" t="s">
        <v>708</v>
      </c>
      <c r="B651">
        <v>74</v>
      </c>
      <c r="C651" t="s">
        <v>22</v>
      </c>
      <c r="D651" s="2">
        <v>45570</v>
      </c>
      <c r="E651" s="2">
        <v>45433</v>
      </c>
      <c r="F651">
        <v>11</v>
      </c>
      <c r="G651" t="s">
        <v>34</v>
      </c>
      <c r="H651">
        <v>2</v>
      </c>
      <c r="I651" t="s">
        <v>71</v>
      </c>
      <c r="J651">
        <v>24642</v>
      </c>
      <c r="K651" t="s">
        <v>60</v>
      </c>
      <c r="L651" t="s">
        <v>54</v>
      </c>
      <c r="M651" t="s">
        <v>27</v>
      </c>
      <c r="N651" s="2">
        <v>45448</v>
      </c>
      <c r="O651" s="2">
        <v>45448.333333333336</v>
      </c>
      <c r="P651" t="s">
        <v>28</v>
      </c>
      <c r="Q651" t="s">
        <v>29</v>
      </c>
      <c r="R651" t="s">
        <v>47</v>
      </c>
      <c r="S651">
        <v>5</v>
      </c>
      <c r="T651">
        <v>12</v>
      </c>
      <c r="U651" t="s">
        <v>68</v>
      </c>
      <c r="V651" t="str">
        <f t="shared" si="10"/>
        <v>Oct-2024</v>
      </c>
      <c r="W651" s="16">
        <f>Table1[[#This Row],[Consultation Date]] - Table1[[#This Row],[Appointment Date]]</f>
        <v>0.33333333333575865</v>
      </c>
    </row>
    <row r="652" spans="1:23" x14ac:dyDescent="0.3">
      <c r="A652" t="s">
        <v>709</v>
      </c>
      <c r="B652">
        <v>16</v>
      </c>
      <c r="C652" t="s">
        <v>22</v>
      </c>
      <c r="D652" s="2">
        <v>45240</v>
      </c>
      <c r="E652" s="2">
        <v>45216</v>
      </c>
      <c r="F652">
        <v>6</v>
      </c>
      <c r="G652" t="s">
        <v>40</v>
      </c>
      <c r="H652">
        <v>5</v>
      </c>
      <c r="I652" t="s">
        <v>24</v>
      </c>
      <c r="J652">
        <v>36262</v>
      </c>
      <c r="K652" t="s">
        <v>53</v>
      </c>
      <c r="L652" t="s">
        <v>26</v>
      </c>
      <c r="M652" t="s">
        <v>41</v>
      </c>
      <c r="N652" s="2">
        <v>45240</v>
      </c>
      <c r="O652" s="2">
        <v>45270.583333333336</v>
      </c>
      <c r="P652" t="s">
        <v>42</v>
      </c>
      <c r="Q652" t="s">
        <v>29</v>
      </c>
      <c r="R652" t="s">
        <v>30</v>
      </c>
      <c r="S652">
        <v>11</v>
      </c>
      <c r="T652">
        <v>12</v>
      </c>
      <c r="U652" t="s">
        <v>48</v>
      </c>
      <c r="V652" t="str">
        <f t="shared" si="10"/>
        <v>Nov-2023</v>
      </c>
      <c r="W652" s="16">
        <f>Table1[[#This Row],[Consultation Date]] - Table1[[#This Row],[Appointment Date]]</f>
        <v>30.583333333335759</v>
      </c>
    </row>
    <row r="653" spans="1:23" x14ac:dyDescent="0.3">
      <c r="A653" t="s">
        <v>710</v>
      </c>
      <c r="B653">
        <v>72</v>
      </c>
      <c r="C653" t="s">
        <v>62</v>
      </c>
      <c r="D653" s="2">
        <v>45464</v>
      </c>
      <c r="E653" s="2">
        <v>45450</v>
      </c>
      <c r="F653">
        <v>15</v>
      </c>
      <c r="G653" t="s">
        <v>50</v>
      </c>
      <c r="H653">
        <v>3</v>
      </c>
      <c r="I653" t="s">
        <v>24</v>
      </c>
      <c r="J653">
        <v>35363</v>
      </c>
      <c r="K653" t="s">
        <v>36</v>
      </c>
      <c r="L653" t="s">
        <v>54</v>
      </c>
      <c r="M653" t="s">
        <v>27</v>
      </c>
      <c r="N653" s="2">
        <v>45464</v>
      </c>
      <c r="O653" s="2">
        <v>45465.958333333336</v>
      </c>
      <c r="P653" t="s">
        <v>28</v>
      </c>
      <c r="Q653" t="s">
        <v>29</v>
      </c>
      <c r="R653" t="s">
        <v>43</v>
      </c>
      <c r="S653">
        <v>8</v>
      </c>
      <c r="T653">
        <v>12</v>
      </c>
      <c r="U653" t="s">
        <v>48</v>
      </c>
      <c r="V653" t="str">
        <f t="shared" si="10"/>
        <v>Jun-2024</v>
      </c>
      <c r="W653" s="16">
        <f>Table1[[#This Row],[Consultation Date]] - Table1[[#This Row],[Appointment Date]]</f>
        <v>1.9583333333357587</v>
      </c>
    </row>
    <row r="654" spans="1:23" x14ac:dyDescent="0.3">
      <c r="A654" t="s">
        <v>711</v>
      </c>
      <c r="B654">
        <v>76</v>
      </c>
      <c r="C654" t="s">
        <v>52</v>
      </c>
      <c r="D654" s="2">
        <v>45216</v>
      </c>
      <c r="E654" s="2">
        <v>45229</v>
      </c>
      <c r="F654">
        <v>13</v>
      </c>
      <c r="G654" t="s">
        <v>57</v>
      </c>
      <c r="H654">
        <v>5</v>
      </c>
      <c r="I654" t="s">
        <v>24</v>
      </c>
      <c r="J654">
        <v>7107</v>
      </c>
      <c r="K654" t="s">
        <v>25</v>
      </c>
      <c r="L654" t="s">
        <v>26</v>
      </c>
      <c r="M654" t="s">
        <v>41</v>
      </c>
      <c r="N654" s="2">
        <v>45213</v>
      </c>
      <c r="O654" s="2">
        <v>45214.041666666664</v>
      </c>
      <c r="P654" t="s">
        <v>64</v>
      </c>
      <c r="Q654" t="s">
        <v>29</v>
      </c>
      <c r="R654" t="s">
        <v>43</v>
      </c>
      <c r="S654">
        <v>6</v>
      </c>
      <c r="T654">
        <v>10</v>
      </c>
      <c r="U654" t="s">
        <v>31</v>
      </c>
      <c r="V654" t="str">
        <f t="shared" si="10"/>
        <v>Oct-2023</v>
      </c>
      <c r="W654" s="16">
        <f>Table1[[#This Row],[Consultation Date]] - Table1[[#This Row],[Appointment Date]]</f>
        <v>1.0416666666642413</v>
      </c>
    </row>
    <row r="655" spans="1:23" x14ac:dyDescent="0.3">
      <c r="A655" t="s">
        <v>712</v>
      </c>
      <c r="B655">
        <v>24</v>
      </c>
      <c r="C655" t="s">
        <v>45</v>
      </c>
      <c r="D655" s="2">
        <v>45029</v>
      </c>
      <c r="E655" s="2">
        <v>45039</v>
      </c>
      <c r="F655">
        <v>10</v>
      </c>
      <c r="G655" t="s">
        <v>50</v>
      </c>
      <c r="H655">
        <v>3</v>
      </c>
      <c r="I655" t="s">
        <v>46</v>
      </c>
      <c r="J655">
        <v>12928</v>
      </c>
      <c r="K655" t="s">
        <v>53</v>
      </c>
      <c r="L655" t="s">
        <v>54</v>
      </c>
      <c r="M655" t="s">
        <v>41</v>
      </c>
      <c r="N655" s="2">
        <v>45029</v>
      </c>
      <c r="O655" s="2">
        <v>45029.958333333336</v>
      </c>
      <c r="P655" t="s">
        <v>55</v>
      </c>
      <c r="Q655" t="s">
        <v>29</v>
      </c>
      <c r="R655" t="s">
        <v>47</v>
      </c>
      <c r="S655">
        <v>5</v>
      </c>
      <c r="T655">
        <v>12</v>
      </c>
      <c r="U655" t="s">
        <v>48</v>
      </c>
      <c r="V655" t="str">
        <f t="shared" si="10"/>
        <v>Apr-2023</v>
      </c>
      <c r="W655" s="16">
        <f>Table1[[#This Row],[Consultation Date]] - Table1[[#This Row],[Appointment Date]]</f>
        <v>0.95833333333575865</v>
      </c>
    </row>
    <row r="656" spans="1:23" x14ac:dyDescent="0.3">
      <c r="A656" t="s">
        <v>713</v>
      </c>
      <c r="B656">
        <v>28</v>
      </c>
      <c r="C656" t="s">
        <v>41</v>
      </c>
      <c r="D656" s="2">
        <v>45125</v>
      </c>
      <c r="E656" s="2">
        <v>45128</v>
      </c>
      <c r="F656">
        <v>3</v>
      </c>
      <c r="G656" t="s">
        <v>50</v>
      </c>
      <c r="H656">
        <v>2</v>
      </c>
      <c r="I656" t="s">
        <v>71</v>
      </c>
      <c r="J656">
        <v>24317</v>
      </c>
      <c r="K656" t="s">
        <v>25</v>
      </c>
      <c r="L656" t="s">
        <v>54</v>
      </c>
      <c r="M656" t="s">
        <v>41</v>
      </c>
      <c r="N656" s="2">
        <v>45123</v>
      </c>
      <c r="O656" s="2">
        <v>45124.166666666664</v>
      </c>
      <c r="P656" t="s">
        <v>28</v>
      </c>
      <c r="Q656" t="s">
        <v>29</v>
      </c>
      <c r="R656" t="s">
        <v>43</v>
      </c>
      <c r="S656">
        <v>10</v>
      </c>
      <c r="T656">
        <v>8</v>
      </c>
      <c r="U656" t="s">
        <v>31</v>
      </c>
      <c r="V656" t="str">
        <f t="shared" si="10"/>
        <v>Jul-2023</v>
      </c>
      <c r="W656" s="16">
        <f>Table1[[#This Row],[Consultation Date]] - Table1[[#This Row],[Appointment Date]]</f>
        <v>1.1666666666642413</v>
      </c>
    </row>
    <row r="657" spans="1:23" x14ac:dyDescent="0.3">
      <c r="A657" t="s">
        <v>714</v>
      </c>
      <c r="B657">
        <v>8</v>
      </c>
      <c r="C657" t="s">
        <v>45</v>
      </c>
      <c r="D657" s="2">
        <v>45230</v>
      </c>
      <c r="E657" s="2">
        <v>45210</v>
      </c>
      <c r="F657">
        <v>10</v>
      </c>
      <c r="G657" t="s">
        <v>23</v>
      </c>
      <c r="H657">
        <v>1</v>
      </c>
      <c r="I657" t="s">
        <v>24</v>
      </c>
      <c r="J657">
        <v>30017</v>
      </c>
      <c r="K657" t="s">
        <v>36</v>
      </c>
      <c r="L657" t="s">
        <v>54</v>
      </c>
      <c r="M657" t="s">
        <v>41</v>
      </c>
      <c r="N657" s="2">
        <v>45227</v>
      </c>
      <c r="O657" s="2">
        <v>45227.875</v>
      </c>
      <c r="P657" t="s">
        <v>28</v>
      </c>
      <c r="Q657" t="s">
        <v>29</v>
      </c>
      <c r="R657" t="s">
        <v>47</v>
      </c>
      <c r="S657">
        <v>8</v>
      </c>
      <c r="T657">
        <v>10</v>
      </c>
      <c r="U657" t="s">
        <v>31</v>
      </c>
      <c r="V657" t="str">
        <f t="shared" si="10"/>
        <v>Oct-2023</v>
      </c>
      <c r="W657" s="16">
        <f>Table1[[#This Row],[Consultation Date]] - Table1[[#This Row],[Appointment Date]]</f>
        <v>0.875</v>
      </c>
    </row>
    <row r="658" spans="1:23" x14ac:dyDescent="0.3">
      <c r="A658" t="s">
        <v>715</v>
      </c>
      <c r="B658">
        <v>36</v>
      </c>
      <c r="C658" t="s">
        <v>41</v>
      </c>
      <c r="D658" s="2">
        <v>45159</v>
      </c>
      <c r="E658" s="2">
        <v>45166</v>
      </c>
      <c r="F658">
        <v>7</v>
      </c>
      <c r="G658" t="s">
        <v>50</v>
      </c>
      <c r="H658">
        <v>5</v>
      </c>
      <c r="I658" t="s">
        <v>66</v>
      </c>
      <c r="J658">
        <v>18528</v>
      </c>
      <c r="K658" t="s">
        <v>60</v>
      </c>
      <c r="L658" t="s">
        <v>54</v>
      </c>
      <c r="M658" t="s">
        <v>27</v>
      </c>
      <c r="N658" s="2">
        <v>45158</v>
      </c>
      <c r="O658" s="2">
        <v>45158.375</v>
      </c>
      <c r="P658" t="s">
        <v>28</v>
      </c>
      <c r="Q658" t="s">
        <v>29</v>
      </c>
      <c r="R658" t="s">
        <v>47</v>
      </c>
      <c r="S658">
        <v>11</v>
      </c>
      <c r="T658">
        <v>10</v>
      </c>
      <c r="U658" t="s">
        <v>68</v>
      </c>
      <c r="V658" t="str">
        <f t="shared" si="10"/>
        <v>Aug-2023</v>
      </c>
      <c r="W658" s="16">
        <f>Table1[[#This Row],[Consultation Date]] - Table1[[#This Row],[Appointment Date]]</f>
        <v>0.375</v>
      </c>
    </row>
    <row r="659" spans="1:23" x14ac:dyDescent="0.3">
      <c r="A659" t="s">
        <v>716</v>
      </c>
      <c r="B659">
        <v>8</v>
      </c>
      <c r="C659" t="s">
        <v>52</v>
      </c>
      <c r="D659" s="2">
        <v>45413</v>
      </c>
      <c r="E659" s="2">
        <v>45505</v>
      </c>
      <c r="F659">
        <v>3</v>
      </c>
      <c r="G659" t="s">
        <v>34</v>
      </c>
      <c r="H659">
        <v>3</v>
      </c>
      <c r="I659" t="s">
        <v>66</v>
      </c>
      <c r="J659">
        <v>18313</v>
      </c>
      <c r="K659" t="s">
        <v>67</v>
      </c>
      <c r="L659" t="s">
        <v>26</v>
      </c>
      <c r="M659" t="s">
        <v>41</v>
      </c>
      <c r="N659" s="2">
        <v>45383</v>
      </c>
      <c r="O659" s="2">
        <v>45383.666666666664</v>
      </c>
      <c r="P659" t="s">
        <v>64</v>
      </c>
      <c r="Q659" t="s">
        <v>29</v>
      </c>
      <c r="R659" t="s">
        <v>43</v>
      </c>
      <c r="S659">
        <v>10</v>
      </c>
      <c r="T659">
        <v>8</v>
      </c>
      <c r="U659" t="s">
        <v>68</v>
      </c>
      <c r="V659" t="str">
        <f t="shared" si="10"/>
        <v>May-2024</v>
      </c>
      <c r="W659" s="16">
        <f>Table1[[#This Row],[Consultation Date]] - Table1[[#This Row],[Appointment Date]]</f>
        <v>0.66666666666424135</v>
      </c>
    </row>
    <row r="660" spans="1:23" x14ac:dyDescent="0.3">
      <c r="A660" t="s">
        <v>717</v>
      </c>
      <c r="B660">
        <v>58</v>
      </c>
      <c r="C660" t="s">
        <v>52</v>
      </c>
      <c r="D660" s="2">
        <v>44992</v>
      </c>
      <c r="E660" s="2">
        <v>45084</v>
      </c>
      <c r="F660">
        <v>3</v>
      </c>
      <c r="G660" t="s">
        <v>50</v>
      </c>
      <c r="H660">
        <v>4</v>
      </c>
      <c r="I660" t="s">
        <v>46</v>
      </c>
      <c r="J660">
        <v>6559</v>
      </c>
      <c r="K660" t="s">
        <v>67</v>
      </c>
      <c r="L660" t="s">
        <v>54</v>
      </c>
      <c r="M660" t="s">
        <v>27</v>
      </c>
      <c r="N660" s="2">
        <v>45105</v>
      </c>
      <c r="O660" s="2">
        <v>45105.75</v>
      </c>
      <c r="P660" t="s">
        <v>28</v>
      </c>
      <c r="Q660" t="s">
        <v>29</v>
      </c>
      <c r="R660" t="s">
        <v>43</v>
      </c>
      <c r="S660">
        <v>4</v>
      </c>
      <c r="T660">
        <v>8</v>
      </c>
      <c r="U660" t="s">
        <v>68</v>
      </c>
      <c r="V660" t="str">
        <f t="shared" si="10"/>
        <v>Mar-2023</v>
      </c>
      <c r="W660" s="16">
        <f>Table1[[#This Row],[Consultation Date]] - Table1[[#This Row],[Appointment Date]]</f>
        <v>0.75</v>
      </c>
    </row>
    <row r="661" spans="1:23" x14ac:dyDescent="0.3">
      <c r="A661" t="s">
        <v>718</v>
      </c>
      <c r="B661">
        <v>60</v>
      </c>
      <c r="C661" t="s">
        <v>52</v>
      </c>
      <c r="D661" s="2">
        <v>45088</v>
      </c>
      <c r="E661" s="2">
        <v>45180</v>
      </c>
      <c r="F661">
        <v>3</v>
      </c>
      <c r="G661" t="s">
        <v>34</v>
      </c>
      <c r="H661">
        <v>2</v>
      </c>
      <c r="I661" t="s">
        <v>46</v>
      </c>
      <c r="J661">
        <v>20167</v>
      </c>
      <c r="K661" t="s">
        <v>60</v>
      </c>
      <c r="L661" t="s">
        <v>54</v>
      </c>
      <c r="M661" t="s">
        <v>27</v>
      </c>
      <c r="N661" s="2">
        <v>44937</v>
      </c>
      <c r="O661" s="2">
        <v>44968.75</v>
      </c>
      <c r="P661" t="s">
        <v>28</v>
      </c>
      <c r="Q661" t="s">
        <v>29</v>
      </c>
      <c r="R661" t="s">
        <v>43</v>
      </c>
      <c r="S661">
        <v>4</v>
      </c>
      <c r="T661">
        <v>12</v>
      </c>
      <c r="U661" t="s">
        <v>68</v>
      </c>
      <c r="V661" t="str">
        <f t="shared" si="10"/>
        <v>Jun-2023</v>
      </c>
      <c r="W661" s="16">
        <f>Table1[[#This Row],[Consultation Date]] - Table1[[#This Row],[Appointment Date]]</f>
        <v>31.75</v>
      </c>
    </row>
    <row r="662" spans="1:23" x14ac:dyDescent="0.3">
      <c r="A662" t="s">
        <v>719</v>
      </c>
      <c r="B662">
        <v>50</v>
      </c>
      <c r="C662" t="s">
        <v>22</v>
      </c>
      <c r="D662" s="2">
        <v>44941</v>
      </c>
      <c r="E662" s="2">
        <v>44955</v>
      </c>
      <c r="F662">
        <v>14</v>
      </c>
      <c r="G662" t="s">
        <v>57</v>
      </c>
      <c r="H662">
        <v>1</v>
      </c>
      <c r="I662" t="s">
        <v>35</v>
      </c>
      <c r="J662">
        <v>20343</v>
      </c>
      <c r="K662" t="s">
        <v>53</v>
      </c>
      <c r="L662" t="s">
        <v>26</v>
      </c>
      <c r="M662" t="s">
        <v>27</v>
      </c>
      <c r="N662" s="2">
        <v>45200</v>
      </c>
      <c r="O662" s="2">
        <v>45200.25</v>
      </c>
      <c r="P662" t="s">
        <v>55</v>
      </c>
      <c r="Q662" t="s">
        <v>29</v>
      </c>
      <c r="R662" t="s">
        <v>30</v>
      </c>
      <c r="S662">
        <v>4</v>
      </c>
      <c r="T662">
        <v>8</v>
      </c>
      <c r="U662" t="s">
        <v>31</v>
      </c>
      <c r="V662" t="str">
        <f t="shared" si="10"/>
        <v>Jan-2023</v>
      </c>
      <c r="W662" s="16">
        <f>Table1[[#This Row],[Consultation Date]] - Table1[[#This Row],[Appointment Date]]</f>
        <v>0.25</v>
      </c>
    </row>
    <row r="663" spans="1:23" x14ac:dyDescent="0.3">
      <c r="A663" t="s">
        <v>720</v>
      </c>
      <c r="B663">
        <v>28</v>
      </c>
      <c r="C663" t="s">
        <v>41</v>
      </c>
      <c r="D663" s="2">
        <v>45204</v>
      </c>
      <c r="E663" s="2">
        <v>45068</v>
      </c>
      <c r="F663">
        <v>12</v>
      </c>
      <c r="G663" t="s">
        <v>34</v>
      </c>
      <c r="H663">
        <v>2</v>
      </c>
      <c r="I663" t="s">
        <v>35</v>
      </c>
      <c r="J663">
        <v>43598</v>
      </c>
      <c r="K663" t="s">
        <v>53</v>
      </c>
      <c r="L663" t="s">
        <v>54</v>
      </c>
      <c r="M663" t="s">
        <v>41</v>
      </c>
      <c r="N663" s="2">
        <v>45112</v>
      </c>
      <c r="O663" s="2">
        <v>45112.666666666664</v>
      </c>
      <c r="P663" t="s">
        <v>64</v>
      </c>
      <c r="Q663" t="s">
        <v>29</v>
      </c>
      <c r="R663" t="s">
        <v>47</v>
      </c>
      <c r="S663">
        <v>10</v>
      </c>
      <c r="T663">
        <v>10</v>
      </c>
      <c r="U663" t="s">
        <v>48</v>
      </c>
      <c r="V663" t="str">
        <f t="shared" si="10"/>
        <v>Oct-2023</v>
      </c>
      <c r="W663" s="16">
        <f>Table1[[#This Row],[Consultation Date]] - Table1[[#This Row],[Appointment Date]]</f>
        <v>0.66666666666424135</v>
      </c>
    </row>
    <row r="664" spans="1:23" x14ac:dyDescent="0.3">
      <c r="A664" t="s">
        <v>721</v>
      </c>
      <c r="B664">
        <v>41</v>
      </c>
      <c r="C664" t="s">
        <v>22</v>
      </c>
      <c r="D664" s="2">
        <v>45148</v>
      </c>
      <c r="E664" s="2">
        <v>45220</v>
      </c>
      <c r="F664">
        <v>13</v>
      </c>
      <c r="G664" t="s">
        <v>57</v>
      </c>
      <c r="H664">
        <v>4</v>
      </c>
      <c r="I664" t="s">
        <v>35</v>
      </c>
      <c r="J664">
        <v>12523</v>
      </c>
      <c r="K664" t="s">
        <v>25</v>
      </c>
      <c r="L664" t="s">
        <v>54</v>
      </c>
      <c r="M664" t="s">
        <v>27</v>
      </c>
      <c r="N664" s="2">
        <v>45087</v>
      </c>
      <c r="O664" s="2">
        <v>45117.5</v>
      </c>
      <c r="P664" t="s">
        <v>64</v>
      </c>
      <c r="Q664" t="s">
        <v>29</v>
      </c>
      <c r="R664" t="s">
        <v>43</v>
      </c>
      <c r="S664">
        <v>4</v>
      </c>
      <c r="T664">
        <v>10</v>
      </c>
      <c r="U664" t="s">
        <v>68</v>
      </c>
      <c r="V664" t="str">
        <f t="shared" si="10"/>
        <v>Aug-2023</v>
      </c>
      <c r="W664" s="16">
        <f>Table1[[#This Row],[Consultation Date]] - Table1[[#This Row],[Appointment Date]]</f>
        <v>30.5</v>
      </c>
    </row>
    <row r="665" spans="1:23" x14ac:dyDescent="0.3">
      <c r="A665" t="s">
        <v>722</v>
      </c>
      <c r="B665">
        <v>64</v>
      </c>
      <c r="C665" t="s">
        <v>22</v>
      </c>
      <c r="D665" s="2">
        <v>44973</v>
      </c>
      <c r="E665" s="2">
        <v>44983</v>
      </c>
      <c r="F665">
        <v>10</v>
      </c>
      <c r="G665" t="s">
        <v>57</v>
      </c>
      <c r="H665">
        <v>1</v>
      </c>
      <c r="I665" t="s">
        <v>46</v>
      </c>
      <c r="J665">
        <v>33439</v>
      </c>
      <c r="K665" t="s">
        <v>60</v>
      </c>
      <c r="L665" t="s">
        <v>26</v>
      </c>
      <c r="M665" t="s">
        <v>27</v>
      </c>
      <c r="N665" s="2">
        <v>44970</v>
      </c>
      <c r="O665" s="2">
        <v>44971.625</v>
      </c>
      <c r="P665" t="s">
        <v>28</v>
      </c>
      <c r="Q665" t="s">
        <v>29</v>
      </c>
      <c r="R665" t="s">
        <v>30</v>
      </c>
      <c r="S665">
        <v>9</v>
      </c>
      <c r="T665">
        <v>10</v>
      </c>
      <c r="U665" t="s">
        <v>68</v>
      </c>
      <c r="V665" t="str">
        <f t="shared" si="10"/>
        <v>Feb-2023</v>
      </c>
      <c r="W665" s="16">
        <f>Table1[[#This Row],[Consultation Date]] - Table1[[#This Row],[Appointment Date]]</f>
        <v>1.625</v>
      </c>
    </row>
    <row r="666" spans="1:23" x14ac:dyDescent="0.3">
      <c r="A666" t="s">
        <v>723</v>
      </c>
      <c r="B666">
        <v>27</v>
      </c>
      <c r="C666" t="s">
        <v>33</v>
      </c>
      <c r="D666" s="2">
        <v>44982</v>
      </c>
      <c r="E666" s="2">
        <v>45202</v>
      </c>
      <c r="F666">
        <v>13</v>
      </c>
      <c r="G666" t="s">
        <v>34</v>
      </c>
      <c r="H666">
        <v>4</v>
      </c>
      <c r="I666" t="s">
        <v>46</v>
      </c>
      <c r="J666">
        <v>20524</v>
      </c>
      <c r="K666" t="s">
        <v>53</v>
      </c>
      <c r="L666" t="s">
        <v>54</v>
      </c>
      <c r="M666" t="s">
        <v>27</v>
      </c>
      <c r="N666" s="2">
        <v>44979</v>
      </c>
      <c r="O666" s="2">
        <v>44980.625</v>
      </c>
      <c r="P666" t="s">
        <v>64</v>
      </c>
      <c r="Q666" t="s">
        <v>29</v>
      </c>
      <c r="R666" t="s">
        <v>43</v>
      </c>
      <c r="S666">
        <v>4</v>
      </c>
      <c r="T666">
        <v>12</v>
      </c>
      <c r="U666" t="s">
        <v>68</v>
      </c>
      <c r="V666" t="str">
        <f t="shared" si="10"/>
        <v>Feb-2023</v>
      </c>
      <c r="W666" s="16">
        <f>Table1[[#This Row],[Consultation Date]] - Table1[[#This Row],[Appointment Date]]</f>
        <v>1.625</v>
      </c>
    </row>
    <row r="667" spans="1:23" x14ac:dyDescent="0.3">
      <c r="A667" t="s">
        <v>724</v>
      </c>
      <c r="B667">
        <v>63</v>
      </c>
      <c r="C667" t="s">
        <v>45</v>
      </c>
      <c r="D667" s="2">
        <v>45226</v>
      </c>
      <c r="E667" s="2">
        <v>45241</v>
      </c>
      <c r="F667">
        <v>15</v>
      </c>
      <c r="G667" t="s">
        <v>40</v>
      </c>
      <c r="H667">
        <v>2</v>
      </c>
      <c r="I667" t="s">
        <v>46</v>
      </c>
      <c r="J667">
        <v>18285</v>
      </c>
      <c r="K667" t="s">
        <v>60</v>
      </c>
      <c r="L667" t="s">
        <v>26</v>
      </c>
      <c r="M667" t="s">
        <v>27</v>
      </c>
      <c r="N667" s="2">
        <v>45223</v>
      </c>
      <c r="O667" s="2">
        <v>45224.958333333336</v>
      </c>
      <c r="P667" t="s">
        <v>37</v>
      </c>
      <c r="Q667" t="s">
        <v>29</v>
      </c>
      <c r="R667" t="s">
        <v>47</v>
      </c>
      <c r="S667">
        <v>5</v>
      </c>
      <c r="T667">
        <v>12</v>
      </c>
      <c r="U667" t="s">
        <v>48</v>
      </c>
      <c r="V667" t="str">
        <f t="shared" si="10"/>
        <v>Oct-2023</v>
      </c>
      <c r="W667" s="16">
        <f>Table1[[#This Row],[Consultation Date]] - Table1[[#This Row],[Appointment Date]]</f>
        <v>1.9583333333357587</v>
      </c>
    </row>
    <row r="668" spans="1:23" x14ac:dyDescent="0.3">
      <c r="A668" t="s">
        <v>725</v>
      </c>
      <c r="B668">
        <v>17</v>
      </c>
      <c r="C668" t="s">
        <v>45</v>
      </c>
      <c r="D668" s="2">
        <v>45204</v>
      </c>
      <c r="E668" s="2">
        <v>45059</v>
      </c>
      <c r="F668">
        <v>3</v>
      </c>
      <c r="G668" t="s">
        <v>63</v>
      </c>
      <c r="H668">
        <v>3</v>
      </c>
      <c r="I668" t="s">
        <v>66</v>
      </c>
      <c r="J668">
        <v>15973</v>
      </c>
      <c r="K668" t="s">
        <v>36</v>
      </c>
      <c r="L668" t="s">
        <v>54</v>
      </c>
      <c r="M668" t="s">
        <v>27</v>
      </c>
      <c r="N668" s="2">
        <v>45112</v>
      </c>
      <c r="O668" s="2">
        <v>45143.625</v>
      </c>
      <c r="P668" t="s">
        <v>64</v>
      </c>
      <c r="Q668" t="s">
        <v>29</v>
      </c>
      <c r="R668" t="s">
        <v>30</v>
      </c>
      <c r="S668">
        <v>7</v>
      </c>
      <c r="T668">
        <v>8</v>
      </c>
      <c r="U668" t="s">
        <v>68</v>
      </c>
      <c r="V668" t="str">
        <f t="shared" si="10"/>
        <v>Oct-2023</v>
      </c>
      <c r="W668" s="16">
        <f>Table1[[#This Row],[Consultation Date]] - Table1[[#This Row],[Appointment Date]]</f>
        <v>31.625</v>
      </c>
    </row>
    <row r="669" spans="1:23" x14ac:dyDescent="0.3">
      <c r="A669" t="s">
        <v>726</v>
      </c>
      <c r="B669">
        <v>73</v>
      </c>
      <c r="C669" t="s">
        <v>62</v>
      </c>
      <c r="D669" s="2">
        <v>45429</v>
      </c>
      <c r="E669" s="2">
        <v>45441</v>
      </c>
      <c r="F669">
        <v>12</v>
      </c>
      <c r="G669" t="s">
        <v>50</v>
      </c>
      <c r="H669">
        <v>2</v>
      </c>
      <c r="I669" t="s">
        <v>46</v>
      </c>
      <c r="J669">
        <v>27694</v>
      </c>
      <c r="K669" t="s">
        <v>67</v>
      </c>
      <c r="L669" t="s">
        <v>26</v>
      </c>
      <c r="M669" t="s">
        <v>27</v>
      </c>
      <c r="N669" s="2">
        <v>45429</v>
      </c>
      <c r="O669" s="2">
        <v>45429.791666666664</v>
      </c>
      <c r="P669" t="s">
        <v>64</v>
      </c>
      <c r="Q669" t="s">
        <v>29</v>
      </c>
      <c r="R669" t="s">
        <v>47</v>
      </c>
      <c r="S669">
        <v>9</v>
      </c>
      <c r="T669">
        <v>12</v>
      </c>
      <c r="U669" t="s">
        <v>48</v>
      </c>
      <c r="V669" t="str">
        <f t="shared" si="10"/>
        <v>May-2024</v>
      </c>
      <c r="W669" s="16">
        <f>Table1[[#This Row],[Consultation Date]] - Table1[[#This Row],[Appointment Date]]</f>
        <v>0.79166666666424135</v>
      </c>
    </row>
    <row r="670" spans="1:23" x14ac:dyDescent="0.3">
      <c r="A670" t="s">
        <v>727</v>
      </c>
      <c r="B670">
        <v>33</v>
      </c>
      <c r="C670" t="s">
        <v>22</v>
      </c>
      <c r="D670" s="2">
        <v>45032</v>
      </c>
      <c r="E670" s="2">
        <v>45040</v>
      </c>
      <c r="F670">
        <v>8</v>
      </c>
      <c r="G670" t="s">
        <v>23</v>
      </c>
      <c r="H670">
        <v>2</v>
      </c>
      <c r="I670" t="s">
        <v>66</v>
      </c>
      <c r="J670">
        <v>40774</v>
      </c>
      <c r="K670" t="s">
        <v>67</v>
      </c>
      <c r="L670" t="s">
        <v>54</v>
      </c>
      <c r="M670" t="s">
        <v>27</v>
      </c>
      <c r="N670" s="2">
        <v>45234</v>
      </c>
      <c r="O670" s="2">
        <v>45264.875</v>
      </c>
      <c r="P670" t="s">
        <v>64</v>
      </c>
      <c r="Q670" t="s">
        <v>29</v>
      </c>
      <c r="R670" t="s">
        <v>43</v>
      </c>
      <c r="S670">
        <v>11</v>
      </c>
      <c r="T670">
        <v>12</v>
      </c>
      <c r="U670" t="s">
        <v>31</v>
      </c>
      <c r="V670" t="str">
        <f t="shared" si="10"/>
        <v>Apr-2023</v>
      </c>
      <c r="W670" s="16">
        <f>Table1[[#This Row],[Consultation Date]] - Table1[[#This Row],[Appointment Date]]</f>
        <v>30.875</v>
      </c>
    </row>
    <row r="671" spans="1:23" x14ac:dyDescent="0.3">
      <c r="A671" t="s">
        <v>728</v>
      </c>
      <c r="B671">
        <v>84</v>
      </c>
      <c r="C671" t="s">
        <v>41</v>
      </c>
      <c r="D671" s="2">
        <v>44939</v>
      </c>
      <c r="E671" s="2">
        <v>44940</v>
      </c>
      <c r="F671">
        <v>1</v>
      </c>
      <c r="G671" t="s">
        <v>63</v>
      </c>
      <c r="H671">
        <v>2</v>
      </c>
      <c r="I671" t="s">
        <v>35</v>
      </c>
      <c r="J671">
        <v>9302</v>
      </c>
      <c r="K671" t="s">
        <v>67</v>
      </c>
      <c r="L671" t="s">
        <v>26</v>
      </c>
      <c r="M671" t="s">
        <v>27</v>
      </c>
      <c r="N671" s="2">
        <v>45139</v>
      </c>
      <c r="O671" s="2">
        <v>45139.083333333336</v>
      </c>
      <c r="P671" t="s">
        <v>42</v>
      </c>
      <c r="Q671" t="s">
        <v>29</v>
      </c>
      <c r="R671" t="s">
        <v>43</v>
      </c>
      <c r="S671">
        <v>7</v>
      </c>
      <c r="T671">
        <v>10</v>
      </c>
      <c r="U671" t="s">
        <v>31</v>
      </c>
      <c r="V671" t="str">
        <f t="shared" si="10"/>
        <v>Jan-2023</v>
      </c>
      <c r="W671" s="16">
        <f>Table1[[#This Row],[Consultation Date]] - Table1[[#This Row],[Appointment Date]]</f>
        <v>8.3333333335758653E-2</v>
      </c>
    </row>
    <row r="672" spans="1:23" x14ac:dyDescent="0.3">
      <c r="A672" t="s">
        <v>729</v>
      </c>
      <c r="B672">
        <v>77</v>
      </c>
      <c r="C672" t="s">
        <v>33</v>
      </c>
      <c r="D672" s="2">
        <v>45218</v>
      </c>
      <c r="E672" s="2">
        <v>45225</v>
      </c>
      <c r="F672">
        <v>7</v>
      </c>
      <c r="G672" t="s">
        <v>50</v>
      </c>
      <c r="H672">
        <v>5</v>
      </c>
      <c r="I672" t="s">
        <v>35</v>
      </c>
      <c r="J672">
        <v>27391</v>
      </c>
      <c r="K672" t="s">
        <v>60</v>
      </c>
      <c r="L672" t="s">
        <v>54</v>
      </c>
      <c r="M672" t="s">
        <v>41</v>
      </c>
      <c r="N672" s="2">
        <v>45214</v>
      </c>
      <c r="O672" s="2">
        <v>45215.791666666664</v>
      </c>
      <c r="P672" t="s">
        <v>42</v>
      </c>
      <c r="Q672" t="s">
        <v>29</v>
      </c>
      <c r="R672" t="s">
        <v>43</v>
      </c>
      <c r="S672">
        <v>5</v>
      </c>
      <c r="T672">
        <v>10</v>
      </c>
      <c r="U672" t="s">
        <v>31</v>
      </c>
      <c r="V672" t="str">
        <f t="shared" si="10"/>
        <v>Oct-2023</v>
      </c>
      <c r="W672" s="16">
        <f>Table1[[#This Row],[Consultation Date]] - Table1[[#This Row],[Appointment Date]]</f>
        <v>1.7916666666642413</v>
      </c>
    </row>
    <row r="673" spans="1:23" x14ac:dyDescent="0.3">
      <c r="A673" t="s">
        <v>730</v>
      </c>
      <c r="B673">
        <v>29</v>
      </c>
      <c r="C673" t="s">
        <v>33</v>
      </c>
      <c r="D673" s="2">
        <v>45407</v>
      </c>
      <c r="E673" s="2">
        <v>45296</v>
      </c>
      <c r="F673">
        <v>6</v>
      </c>
      <c r="G673" t="s">
        <v>50</v>
      </c>
      <c r="H673">
        <v>4</v>
      </c>
      <c r="I673" t="s">
        <v>35</v>
      </c>
      <c r="J673">
        <v>9611</v>
      </c>
      <c r="K673" t="s">
        <v>60</v>
      </c>
      <c r="L673" t="s">
        <v>26</v>
      </c>
      <c r="M673" t="s">
        <v>27</v>
      </c>
      <c r="N673" s="2">
        <v>45406</v>
      </c>
      <c r="O673" s="2">
        <v>45406.833333333336</v>
      </c>
      <c r="P673" t="s">
        <v>42</v>
      </c>
      <c r="Q673" t="s">
        <v>29</v>
      </c>
      <c r="R673" t="s">
        <v>30</v>
      </c>
      <c r="S673">
        <v>11</v>
      </c>
      <c r="T673">
        <v>8</v>
      </c>
      <c r="U673" t="s">
        <v>48</v>
      </c>
      <c r="V673" t="str">
        <f t="shared" si="10"/>
        <v>Apr-2024</v>
      </c>
      <c r="W673" s="16">
        <f>Table1[[#This Row],[Consultation Date]] - Table1[[#This Row],[Appointment Date]]</f>
        <v>0.83333333333575865</v>
      </c>
    </row>
    <row r="674" spans="1:23" x14ac:dyDescent="0.3">
      <c r="A674" t="s">
        <v>731</v>
      </c>
      <c r="B674">
        <v>13</v>
      </c>
      <c r="C674" t="s">
        <v>45</v>
      </c>
      <c r="D674" s="2">
        <v>45417</v>
      </c>
      <c r="E674" s="2">
        <v>45428</v>
      </c>
      <c r="F674">
        <v>11</v>
      </c>
      <c r="G674" t="s">
        <v>57</v>
      </c>
      <c r="H674">
        <v>4</v>
      </c>
      <c r="I674" t="s">
        <v>24</v>
      </c>
      <c r="J674">
        <v>14372</v>
      </c>
      <c r="K674" t="s">
        <v>25</v>
      </c>
      <c r="L674" t="s">
        <v>54</v>
      </c>
      <c r="M674" t="s">
        <v>41</v>
      </c>
      <c r="N674" s="2">
        <v>45412</v>
      </c>
      <c r="O674" s="2">
        <v>45412.583333333336</v>
      </c>
      <c r="P674" t="s">
        <v>64</v>
      </c>
      <c r="Q674" t="s">
        <v>29</v>
      </c>
      <c r="R674" t="s">
        <v>30</v>
      </c>
      <c r="S674">
        <v>5</v>
      </c>
      <c r="T674">
        <v>10</v>
      </c>
      <c r="U674" t="s">
        <v>68</v>
      </c>
      <c r="V674" t="str">
        <f t="shared" si="10"/>
        <v>May-2024</v>
      </c>
      <c r="W674" s="16">
        <f>Table1[[#This Row],[Consultation Date]] - Table1[[#This Row],[Appointment Date]]</f>
        <v>0.58333333333575865</v>
      </c>
    </row>
    <row r="675" spans="1:23" x14ac:dyDescent="0.3">
      <c r="A675" t="s">
        <v>732</v>
      </c>
      <c r="B675">
        <v>46</v>
      </c>
      <c r="C675" t="s">
        <v>22</v>
      </c>
      <c r="D675" s="2">
        <v>45378</v>
      </c>
      <c r="E675" s="2">
        <v>45508</v>
      </c>
      <c r="F675">
        <v>12</v>
      </c>
      <c r="G675" t="s">
        <v>50</v>
      </c>
      <c r="H675">
        <v>4</v>
      </c>
      <c r="I675" t="s">
        <v>24</v>
      </c>
      <c r="J675">
        <v>29312</v>
      </c>
      <c r="K675" t="s">
        <v>67</v>
      </c>
      <c r="L675" t="s">
        <v>54</v>
      </c>
      <c r="M675" t="s">
        <v>27</v>
      </c>
      <c r="N675" s="2">
        <v>45376</v>
      </c>
      <c r="O675" s="2">
        <v>45377.416666666664</v>
      </c>
      <c r="P675" t="s">
        <v>37</v>
      </c>
      <c r="Q675" t="s">
        <v>29</v>
      </c>
      <c r="R675" t="s">
        <v>30</v>
      </c>
      <c r="S675">
        <v>6</v>
      </c>
      <c r="T675">
        <v>12</v>
      </c>
      <c r="U675" t="s">
        <v>68</v>
      </c>
      <c r="V675" t="str">
        <f t="shared" si="10"/>
        <v>Mar-2024</v>
      </c>
      <c r="W675" s="16">
        <f>Table1[[#This Row],[Consultation Date]] - Table1[[#This Row],[Appointment Date]]</f>
        <v>1.4166666666642413</v>
      </c>
    </row>
    <row r="676" spans="1:23" x14ac:dyDescent="0.3">
      <c r="A676" t="s">
        <v>733</v>
      </c>
      <c r="B676">
        <v>35</v>
      </c>
      <c r="C676" t="s">
        <v>62</v>
      </c>
      <c r="D676" s="2">
        <v>45275</v>
      </c>
      <c r="E676" s="2">
        <v>45279</v>
      </c>
      <c r="F676">
        <v>4</v>
      </c>
      <c r="G676" t="s">
        <v>23</v>
      </c>
      <c r="H676">
        <v>5</v>
      </c>
      <c r="I676" t="s">
        <v>71</v>
      </c>
      <c r="J676">
        <v>19080</v>
      </c>
      <c r="K676" t="s">
        <v>25</v>
      </c>
      <c r="L676" t="s">
        <v>54</v>
      </c>
      <c r="M676" t="s">
        <v>27</v>
      </c>
      <c r="N676" s="2">
        <v>45275</v>
      </c>
      <c r="O676" s="2">
        <v>45276.625</v>
      </c>
      <c r="P676" t="s">
        <v>64</v>
      </c>
      <c r="Q676" t="s">
        <v>29</v>
      </c>
      <c r="R676" t="s">
        <v>30</v>
      </c>
      <c r="S676">
        <v>11</v>
      </c>
      <c r="T676">
        <v>8</v>
      </c>
      <c r="U676" t="s">
        <v>68</v>
      </c>
      <c r="V676" t="str">
        <f t="shared" si="10"/>
        <v>Dec-2023</v>
      </c>
      <c r="W676" s="16">
        <f>Table1[[#This Row],[Consultation Date]] - Table1[[#This Row],[Appointment Date]]</f>
        <v>1.625</v>
      </c>
    </row>
    <row r="677" spans="1:23" x14ac:dyDescent="0.3">
      <c r="A677" t="s">
        <v>734</v>
      </c>
      <c r="B677">
        <v>6</v>
      </c>
      <c r="C677" t="s">
        <v>22</v>
      </c>
      <c r="D677" s="2">
        <v>45145</v>
      </c>
      <c r="E677" s="2">
        <v>45123</v>
      </c>
      <c r="F677">
        <v>8</v>
      </c>
      <c r="G677" t="s">
        <v>50</v>
      </c>
      <c r="H677">
        <v>3</v>
      </c>
      <c r="I677" t="s">
        <v>71</v>
      </c>
      <c r="J677">
        <v>20082</v>
      </c>
      <c r="K677" t="s">
        <v>67</v>
      </c>
      <c r="L677" t="s">
        <v>26</v>
      </c>
      <c r="M677" t="s">
        <v>27</v>
      </c>
      <c r="N677" s="2">
        <v>45114</v>
      </c>
      <c r="O677" s="2">
        <v>45145.375</v>
      </c>
      <c r="P677" t="s">
        <v>28</v>
      </c>
      <c r="Q677" t="s">
        <v>29</v>
      </c>
      <c r="R677" t="s">
        <v>43</v>
      </c>
      <c r="S677">
        <v>9</v>
      </c>
      <c r="T677">
        <v>8</v>
      </c>
      <c r="U677" t="s">
        <v>68</v>
      </c>
      <c r="V677" t="str">
        <f t="shared" si="10"/>
        <v>Aug-2023</v>
      </c>
      <c r="W677" s="16">
        <f>Table1[[#This Row],[Consultation Date]] - Table1[[#This Row],[Appointment Date]]</f>
        <v>31.375</v>
      </c>
    </row>
    <row r="678" spans="1:23" x14ac:dyDescent="0.3">
      <c r="A678" t="s">
        <v>735</v>
      </c>
      <c r="B678">
        <v>82</v>
      </c>
      <c r="C678" t="s">
        <v>52</v>
      </c>
      <c r="D678" s="2">
        <v>44979</v>
      </c>
      <c r="E678" s="2">
        <v>45019</v>
      </c>
      <c r="F678">
        <v>10</v>
      </c>
      <c r="G678" t="s">
        <v>34</v>
      </c>
      <c r="H678">
        <v>2</v>
      </c>
      <c r="I678" t="s">
        <v>71</v>
      </c>
      <c r="J678">
        <v>47861</v>
      </c>
      <c r="K678" t="s">
        <v>25</v>
      </c>
      <c r="L678" t="s">
        <v>26</v>
      </c>
      <c r="M678" t="s">
        <v>27</v>
      </c>
      <c r="N678" s="2">
        <v>44975</v>
      </c>
      <c r="O678" s="2">
        <v>44975.541666666664</v>
      </c>
      <c r="P678" t="s">
        <v>37</v>
      </c>
      <c r="Q678" t="s">
        <v>29</v>
      </c>
      <c r="R678" t="s">
        <v>43</v>
      </c>
      <c r="S678">
        <v>7</v>
      </c>
      <c r="T678">
        <v>10</v>
      </c>
      <c r="U678" t="s">
        <v>68</v>
      </c>
      <c r="V678" t="str">
        <f t="shared" si="10"/>
        <v>Feb-2023</v>
      </c>
      <c r="W678" s="16">
        <f>Table1[[#This Row],[Consultation Date]] - Table1[[#This Row],[Appointment Date]]</f>
        <v>0.54166666666424135</v>
      </c>
    </row>
    <row r="679" spans="1:23" x14ac:dyDescent="0.3">
      <c r="A679" t="s">
        <v>736</v>
      </c>
      <c r="B679">
        <v>69</v>
      </c>
      <c r="C679" t="s">
        <v>22</v>
      </c>
      <c r="D679" s="2">
        <v>45185</v>
      </c>
      <c r="E679" s="2">
        <v>45190</v>
      </c>
      <c r="F679">
        <v>5</v>
      </c>
      <c r="G679" t="s">
        <v>63</v>
      </c>
      <c r="H679">
        <v>3</v>
      </c>
      <c r="I679" t="s">
        <v>24</v>
      </c>
      <c r="J679">
        <v>35677</v>
      </c>
      <c r="K679" t="s">
        <v>25</v>
      </c>
      <c r="L679" t="s">
        <v>54</v>
      </c>
      <c r="M679" t="s">
        <v>27</v>
      </c>
      <c r="N679" s="2">
        <v>45182</v>
      </c>
      <c r="O679" s="2">
        <v>45184</v>
      </c>
      <c r="P679" t="s">
        <v>42</v>
      </c>
      <c r="Q679" t="s">
        <v>29</v>
      </c>
      <c r="R679" t="s">
        <v>43</v>
      </c>
      <c r="S679">
        <v>4</v>
      </c>
      <c r="T679">
        <v>10</v>
      </c>
      <c r="U679" t="s">
        <v>48</v>
      </c>
      <c r="V679" t="str">
        <f t="shared" si="10"/>
        <v>Sep-2023</v>
      </c>
      <c r="W679" s="16">
        <f>Table1[[#This Row],[Consultation Date]] - Table1[[#This Row],[Appointment Date]]</f>
        <v>2</v>
      </c>
    </row>
    <row r="680" spans="1:23" x14ac:dyDescent="0.3">
      <c r="A680" t="s">
        <v>737</v>
      </c>
      <c r="B680">
        <v>47</v>
      </c>
      <c r="C680" t="s">
        <v>52</v>
      </c>
      <c r="D680" s="2">
        <v>45387</v>
      </c>
      <c r="E680" s="2">
        <v>45429</v>
      </c>
      <c r="F680">
        <v>13</v>
      </c>
      <c r="G680" t="s">
        <v>34</v>
      </c>
      <c r="H680">
        <v>5</v>
      </c>
      <c r="I680" t="s">
        <v>24</v>
      </c>
      <c r="J680">
        <v>25874</v>
      </c>
      <c r="K680" t="s">
        <v>36</v>
      </c>
      <c r="L680" t="s">
        <v>54</v>
      </c>
      <c r="M680" t="s">
        <v>27</v>
      </c>
      <c r="N680" s="2">
        <v>45412</v>
      </c>
      <c r="O680" s="2">
        <v>45296.083333333336</v>
      </c>
      <c r="P680" t="s">
        <v>55</v>
      </c>
      <c r="Q680" t="s">
        <v>38</v>
      </c>
      <c r="R680" t="s">
        <v>30</v>
      </c>
      <c r="S680">
        <v>5</v>
      </c>
      <c r="T680">
        <v>10</v>
      </c>
      <c r="U680" t="s">
        <v>31</v>
      </c>
      <c r="V680" t="str">
        <f t="shared" si="10"/>
        <v>Apr-2024</v>
      </c>
      <c r="W680" s="16">
        <f>Table1[[#This Row],[Consultation Date]] - Table1[[#This Row],[Appointment Date]]</f>
        <v>-115.91666666666424</v>
      </c>
    </row>
    <row r="681" spans="1:23" x14ac:dyDescent="0.3">
      <c r="A681" t="s">
        <v>738</v>
      </c>
      <c r="B681">
        <v>25</v>
      </c>
      <c r="C681" t="s">
        <v>52</v>
      </c>
      <c r="D681" s="2">
        <v>45043</v>
      </c>
      <c r="E681" s="2">
        <v>45174</v>
      </c>
      <c r="F681">
        <v>12</v>
      </c>
      <c r="G681" t="s">
        <v>23</v>
      </c>
      <c r="H681">
        <v>4</v>
      </c>
      <c r="I681" t="s">
        <v>71</v>
      </c>
      <c r="J681">
        <v>13378</v>
      </c>
      <c r="K681" t="s">
        <v>25</v>
      </c>
      <c r="L681" t="s">
        <v>26</v>
      </c>
      <c r="M681" t="s">
        <v>27</v>
      </c>
      <c r="N681" s="2">
        <v>45042</v>
      </c>
      <c r="O681" s="2">
        <v>45042.791666666664</v>
      </c>
      <c r="P681" t="s">
        <v>37</v>
      </c>
      <c r="Q681" t="s">
        <v>38</v>
      </c>
      <c r="R681" t="s">
        <v>30</v>
      </c>
      <c r="S681">
        <v>4</v>
      </c>
      <c r="T681">
        <v>8</v>
      </c>
      <c r="U681" t="s">
        <v>68</v>
      </c>
      <c r="V681" t="str">
        <f t="shared" si="10"/>
        <v>Apr-2023</v>
      </c>
      <c r="W681" s="16">
        <f>Table1[[#This Row],[Consultation Date]] - Table1[[#This Row],[Appointment Date]]</f>
        <v>0.79166666666424135</v>
      </c>
    </row>
    <row r="682" spans="1:23" x14ac:dyDescent="0.3">
      <c r="A682" t="s">
        <v>739</v>
      </c>
      <c r="B682">
        <v>66</v>
      </c>
      <c r="C682" t="s">
        <v>62</v>
      </c>
      <c r="D682" s="2">
        <v>45141</v>
      </c>
      <c r="E682" s="2">
        <v>45006</v>
      </c>
      <c r="F682">
        <v>13</v>
      </c>
      <c r="G682" t="s">
        <v>50</v>
      </c>
      <c r="H682">
        <v>2</v>
      </c>
      <c r="I682" t="s">
        <v>71</v>
      </c>
      <c r="J682">
        <v>6597</v>
      </c>
      <c r="K682" t="s">
        <v>60</v>
      </c>
      <c r="L682" t="s">
        <v>54</v>
      </c>
      <c r="M682" t="s">
        <v>27</v>
      </c>
      <c r="N682" s="2">
        <v>44988</v>
      </c>
      <c r="O682" s="2">
        <v>45019.75</v>
      </c>
      <c r="P682" t="s">
        <v>42</v>
      </c>
      <c r="Q682" t="s">
        <v>29</v>
      </c>
      <c r="R682" t="s">
        <v>43</v>
      </c>
      <c r="S682">
        <v>11</v>
      </c>
      <c r="T682">
        <v>10</v>
      </c>
      <c r="U682" t="s">
        <v>31</v>
      </c>
      <c r="V682" t="str">
        <f t="shared" si="10"/>
        <v>Aug-2023</v>
      </c>
      <c r="W682" s="16">
        <f>Table1[[#This Row],[Consultation Date]] - Table1[[#This Row],[Appointment Date]]</f>
        <v>31.75</v>
      </c>
    </row>
    <row r="683" spans="1:23" x14ac:dyDescent="0.3">
      <c r="A683" t="s">
        <v>740</v>
      </c>
      <c r="B683">
        <v>10</v>
      </c>
      <c r="C683" t="s">
        <v>41</v>
      </c>
      <c r="D683" s="2">
        <v>45337</v>
      </c>
      <c r="E683" s="2">
        <v>45345</v>
      </c>
      <c r="F683">
        <v>8</v>
      </c>
      <c r="G683" t="s">
        <v>23</v>
      </c>
      <c r="H683">
        <v>1</v>
      </c>
      <c r="I683" t="s">
        <v>46</v>
      </c>
      <c r="J683">
        <v>16600</v>
      </c>
      <c r="K683" t="s">
        <v>25</v>
      </c>
      <c r="L683" t="s">
        <v>26</v>
      </c>
      <c r="M683" t="s">
        <v>41</v>
      </c>
      <c r="N683" s="2">
        <v>45336</v>
      </c>
      <c r="O683" s="2">
        <v>45336.166666666664</v>
      </c>
      <c r="P683" t="s">
        <v>37</v>
      </c>
      <c r="Q683" t="s">
        <v>29</v>
      </c>
      <c r="R683" t="s">
        <v>43</v>
      </c>
      <c r="S683">
        <v>7</v>
      </c>
      <c r="T683">
        <v>12</v>
      </c>
      <c r="U683" t="s">
        <v>48</v>
      </c>
      <c r="V683" t="str">
        <f t="shared" si="10"/>
        <v>Feb-2024</v>
      </c>
      <c r="W683" s="16">
        <f>Table1[[#This Row],[Consultation Date]] - Table1[[#This Row],[Appointment Date]]</f>
        <v>0.16666666666424135</v>
      </c>
    </row>
    <row r="684" spans="1:23" x14ac:dyDescent="0.3">
      <c r="A684" t="s">
        <v>741</v>
      </c>
      <c r="B684">
        <v>56</v>
      </c>
      <c r="C684" t="s">
        <v>45</v>
      </c>
      <c r="D684" s="2">
        <v>45430</v>
      </c>
      <c r="E684" s="2">
        <v>45434</v>
      </c>
      <c r="F684">
        <v>4</v>
      </c>
      <c r="G684" t="s">
        <v>57</v>
      </c>
      <c r="H684">
        <v>1</v>
      </c>
      <c r="I684" t="s">
        <v>71</v>
      </c>
      <c r="J684">
        <v>8747</v>
      </c>
      <c r="K684" t="s">
        <v>67</v>
      </c>
      <c r="L684" t="s">
        <v>54</v>
      </c>
      <c r="M684" t="s">
        <v>27</v>
      </c>
      <c r="N684" s="2">
        <v>45430</v>
      </c>
      <c r="O684" s="2">
        <v>45430.666666666664</v>
      </c>
      <c r="P684" t="s">
        <v>37</v>
      </c>
      <c r="Q684" t="s">
        <v>29</v>
      </c>
      <c r="R684" t="s">
        <v>30</v>
      </c>
      <c r="S684">
        <v>10</v>
      </c>
      <c r="T684">
        <v>8</v>
      </c>
      <c r="U684" t="s">
        <v>48</v>
      </c>
      <c r="V684" t="str">
        <f t="shared" si="10"/>
        <v>May-2024</v>
      </c>
      <c r="W684" s="16">
        <f>Table1[[#This Row],[Consultation Date]] - Table1[[#This Row],[Appointment Date]]</f>
        <v>0.66666666666424135</v>
      </c>
    </row>
    <row r="685" spans="1:23" x14ac:dyDescent="0.3">
      <c r="A685" t="s">
        <v>742</v>
      </c>
      <c r="B685">
        <v>30</v>
      </c>
      <c r="C685" t="s">
        <v>22</v>
      </c>
      <c r="D685" s="2">
        <v>45002</v>
      </c>
      <c r="E685" s="2">
        <v>45011</v>
      </c>
      <c r="F685">
        <v>9</v>
      </c>
      <c r="G685" t="s">
        <v>34</v>
      </c>
      <c r="H685">
        <v>3</v>
      </c>
      <c r="I685" t="s">
        <v>46</v>
      </c>
      <c r="J685">
        <v>18879</v>
      </c>
      <c r="K685" t="s">
        <v>25</v>
      </c>
      <c r="L685" t="s">
        <v>26</v>
      </c>
      <c r="M685" t="s">
        <v>27</v>
      </c>
      <c r="N685" s="2">
        <v>45002</v>
      </c>
      <c r="O685" s="2">
        <v>45003.333333333336</v>
      </c>
      <c r="P685" t="s">
        <v>64</v>
      </c>
      <c r="Q685" t="s">
        <v>29</v>
      </c>
      <c r="R685" t="s">
        <v>47</v>
      </c>
      <c r="S685">
        <v>9</v>
      </c>
      <c r="T685">
        <v>10</v>
      </c>
      <c r="U685" t="s">
        <v>68</v>
      </c>
      <c r="V685" t="str">
        <f t="shared" si="10"/>
        <v>Mar-2023</v>
      </c>
      <c r="W685" s="16">
        <f>Table1[[#This Row],[Consultation Date]] - Table1[[#This Row],[Appointment Date]]</f>
        <v>1.3333333333357587</v>
      </c>
    </row>
    <row r="686" spans="1:23" x14ac:dyDescent="0.3">
      <c r="A686" t="s">
        <v>743</v>
      </c>
      <c r="B686">
        <v>5</v>
      </c>
      <c r="C686" t="s">
        <v>52</v>
      </c>
      <c r="D686" s="2">
        <v>44981</v>
      </c>
      <c r="E686" s="2">
        <v>44985</v>
      </c>
      <c r="F686">
        <v>4</v>
      </c>
      <c r="G686" t="s">
        <v>34</v>
      </c>
      <c r="H686">
        <v>4</v>
      </c>
      <c r="I686" t="s">
        <v>66</v>
      </c>
      <c r="J686">
        <v>18017</v>
      </c>
      <c r="K686" t="s">
        <v>53</v>
      </c>
      <c r="L686" t="s">
        <v>54</v>
      </c>
      <c r="M686" t="s">
        <v>41</v>
      </c>
      <c r="N686" s="2">
        <v>44979</v>
      </c>
      <c r="O686" s="2">
        <v>44980.041666666664</v>
      </c>
      <c r="P686" t="s">
        <v>28</v>
      </c>
      <c r="Q686" t="s">
        <v>29</v>
      </c>
      <c r="R686" t="s">
        <v>43</v>
      </c>
      <c r="S686">
        <v>8</v>
      </c>
      <c r="T686">
        <v>12</v>
      </c>
      <c r="U686" t="s">
        <v>48</v>
      </c>
      <c r="V686" t="str">
        <f t="shared" si="10"/>
        <v>Feb-2023</v>
      </c>
      <c r="W686" s="16">
        <f>Table1[[#This Row],[Consultation Date]] - Table1[[#This Row],[Appointment Date]]</f>
        <v>1.0416666666642413</v>
      </c>
    </row>
    <row r="687" spans="1:23" x14ac:dyDescent="0.3">
      <c r="A687" t="s">
        <v>744</v>
      </c>
      <c r="B687">
        <v>33</v>
      </c>
      <c r="C687" t="s">
        <v>22</v>
      </c>
      <c r="D687" s="2">
        <v>45052</v>
      </c>
      <c r="E687" s="2">
        <v>45205</v>
      </c>
      <c r="F687">
        <v>5</v>
      </c>
      <c r="G687" t="s">
        <v>40</v>
      </c>
      <c r="H687">
        <v>1</v>
      </c>
      <c r="I687" t="s">
        <v>24</v>
      </c>
      <c r="J687">
        <v>29815</v>
      </c>
      <c r="K687" t="s">
        <v>67</v>
      </c>
      <c r="L687" t="s">
        <v>54</v>
      </c>
      <c r="M687" t="s">
        <v>27</v>
      </c>
      <c r="N687" s="2">
        <v>44963</v>
      </c>
      <c r="O687" s="2">
        <v>44963.333333333336</v>
      </c>
      <c r="P687" t="s">
        <v>55</v>
      </c>
      <c r="Q687" t="s">
        <v>38</v>
      </c>
      <c r="R687" t="s">
        <v>43</v>
      </c>
      <c r="S687">
        <v>10</v>
      </c>
      <c r="T687">
        <v>12</v>
      </c>
      <c r="U687" t="s">
        <v>31</v>
      </c>
      <c r="V687" t="str">
        <f t="shared" si="10"/>
        <v>May-2023</v>
      </c>
      <c r="W687" s="16">
        <f>Table1[[#This Row],[Consultation Date]] - Table1[[#This Row],[Appointment Date]]</f>
        <v>0.33333333333575865</v>
      </c>
    </row>
    <row r="688" spans="1:23" x14ac:dyDescent="0.3">
      <c r="A688" t="s">
        <v>745</v>
      </c>
      <c r="B688">
        <v>65</v>
      </c>
      <c r="C688" t="s">
        <v>41</v>
      </c>
      <c r="D688" s="2">
        <v>44963</v>
      </c>
      <c r="E688" s="2">
        <v>45092</v>
      </c>
      <c r="F688">
        <v>13</v>
      </c>
      <c r="G688" t="s">
        <v>50</v>
      </c>
      <c r="H688">
        <v>3</v>
      </c>
      <c r="I688" t="s">
        <v>71</v>
      </c>
      <c r="J688">
        <v>23964</v>
      </c>
      <c r="K688" t="s">
        <v>53</v>
      </c>
      <c r="L688" t="s">
        <v>26</v>
      </c>
      <c r="M688" t="s">
        <v>41</v>
      </c>
      <c r="N688" s="2">
        <v>45074</v>
      </c>
      <c r="O688" s="2">
        <v>45074.666666666664</v>
      </c>
      <c r="P688" t="s">
        <v>42</v>
      </c>
      <c r="Q688" t="s">
        <v>29</v>
      </c>
      <c r="R688" t="s">
        <v>43</v>
      </c>
      <c r="S688">
        <v>11</v>
      </c>
      <c r="T688">
        <v>10</v>
      </c>
      <c r="U688" t="s">
        <v>68</v>
      </c>
      <c r="V688" t="str">
        <f t="shared" si="10"/>
        <v>Feb-2023</v>
      </c>
      <c r="W688" s="16">
        <f>Table1[[#This Row],[Consultation Date]] - Table1[[#This Row],[Appointment Date]]</f>
        <v>0.66666666666424135</v>
      </c>
    </row>
    <row r="689" spans="1:23" x14ac:dyDescent="0.3">
      <c r="A689" t="s">
        <v>746</v>
      </c>
      <c r="B689">
        <v>18</v>
      </c>
      <c r="C689" t="s">
        <v>45</v>
      </c>
      <c r="D689" s="2">
        <v>45149</v>
      </c>
      <c r="E689" s="2">
        <v>45251</v>
      </c>
      <c r="F689">
        <v>13</v>
      </c>
      <c r="G689" t="s">
        <v>57</v>
      </c>
      <c r="H689">
        <v>5</v>
      </c>
      <c r="I689" t="s">
        <v>24</v>
      </c>
      <c r="J689">
        <v>33812</v>
      </c>
      <c r="K689" t="s">
        <v>67</v>
      </c>
      <c r="L689" t="s">
        <v>26</v>
      </c>
      <c r="M689" t="s">
        <v>27</v>
      </c>
      <c r="N689" s="2">
        <v>44996</v>
      </c>
      <c r="O689" s="2">
        <v>45027.333333333336</v>
      </c>
      <c r="P689" t="s">
        <v>37</v>
      </c>
      <c r="Q689" t="s">
        <v>29</v>
      </c>
      <c r="R689" t="s">
        <v>30</v>
      </c>
      <c r="S689">
        <v>11</v>
      </c>
      <c r="T689">
        <v>12</v>
      </c>
      <c r="U689" t="s">
        <v>68</v>
      </c>
      <c r="V689" t="str">
        <f t="shared" si="10"/>
        <v>Aug-2023</v>
      </c>
      <c r="W689" s="16">
        <f>Table1[[#This Row],[Consultation Date]] - Table1[[#This Row],[Appointment Date]]</f>
        <v>31.333333333335759</v>
      </c>
    </row>
    <row r="690" spans="1:23" x14ac:dyDescent="0.3">
      <c r="A690" t="s">
        <v>747</v>
      </c>
      <c r="B690">
        <v>49</v>
      </c>
      <c r="C690" t="s">
        <v>41</v>
      </c>
      <c r="D690" s="2">
        <v>45014</v>
      </c>
      <c r="E690" s="2">
        <v>45081</v>
      </c>
      <c r="F690">
        <v>8</v>
      </c>
      <c r="G690" t="s">
        <v>34</v>
      </c>
      <c r="H690">
        <v>3</v>
      </c>
      <c r="I690" t="s">
        <v>24</v>
      </c>
      <c r="J690">
        <v>45200</v>
      </c>
      <c r="K690" t="s">
        <v>60</v>
      </c>
      <c r="L690" t="s">
        <v>26</v>
      </c>
      <c r="M690" t="s">
        <v>27</v>
      </c>
      <c r="N690" s="2">
        <v>45010</v>
      </c>
      <c r="O690" s="2">
        <v>45011.708333333336</v>
      </c>
      <c r="P690" t="s">
        <v>55</v>
      </c>
      <c r="Q690" t="s">
        <v>29</v>
      </c>
      <c r="R690" t="s">
        <v>43</v>
      </c>
      <c r="S690">
        <v>10</v>
      </c>
      <c r="T690">
        <v>8</v>
      </c>
      <c r="U690" t="s">
        <v>31</v>
      </c>
      <c r="V690" t="str">
        <f t="shared" si="10"/>
        <v>Mar-2023</v>
      </c>
      <c r="W690" s="16">
        <f>Table1[[#This Row],[Consultation Date]] - Table1[[#This Row],[Appointment Date]]</f>
        <v>1.7083333333357587</v>
      </c>
    </row>
    <row r="691" spans="1:23" x14ac:dyDescent="0.3">
      <c r="A691" t="s">
        <v>748</v>
      </c>
      <c r="B691">
        <v>11</v>
      </c>
      <c r="C691" t="s">
        <v>45</v>
      </c>
      <c r="D691" s="2">
        <v>45269</v>
      </c>
      <c r="E691" s="2">
        <v>45196</v>
      </c>
      <c r="F691">
        <v>15</v>
      </c>
      <c r="G691" t="s">
        <v>34</v>
      </c>
      <c r="H691">
        <v>3</v>
      </c>
      <c r="I691" t="s">
        <v>24</v>
      </c>
      <c r="J691">
        <v>29714</v>
      </c>
      <c r="K691" t="s">
        <v>60</v>
      </c>
      <c r="L691" t="s">
        <v>54</v>
      </c>
      <c r="M691" t="s">
        <v>27</v>
      </c>
      <c r="N691" s="2">
        <v>45178</v>
      </c>
      <c r="O691" s="2">
        <v>45208.625</v>
      </c>
      <c r="P691" t="s">
        <v>37</v>
      </c>
      <c r="Q691" t="s">
        <v>29</v>
      </c>
      <c r="R691" t="s">
        <v>43</v>
      </c>
      <c r="S691">
        <v>8</v>
      </c>
      <c r="T691">
        <v>8</v>
      </c>
      <c r="U691" t="s">
        <v>68</v>
      </c>
      <c r="V691" t="str">
        <f t="shared" si="10"/>
        <v>Dec-2023</v>
      </c>
      <c r="W691" s="16">
        <f>Table1[[#This Row],[Consultation Date]] - Table1[[#This Row],[Appointment Date]]</f>
        <v>30.625</v>
      </c>
    </row>
    <row r="692" spans="1:23" x14ac:dyDescent="0.3">
      <c r="A692" t="s">
        <v>749</v>
      </c>
      <c r="B692">
        <v>85</v>
      </c>
      <c r="C692" t="s">
        <v>33</v>
      </c>
      <c r="D692" s="2">
        <v>44962</v>
      </c>
      <c r="E692" s="2">
        <v>45062</v>
      </c>
      <c r="F692">
        <v>14</v>
      </c>
      <c r="G692" t="s">
        <v>57</v>
      </c>
      <c r="H692">
        <v>3</v>
      </c>
      <c r="I692" t="s">
        <v>66</v>
      </c>
      <c r="J692">
        <v>23890</v>
      </c>
      <c r="K692" t="s">
        <v>60</v>
      </c>
      <c r="L692" t="s">
        <v>54</v>
      </c>
      <c r="M692" t="s">
        <v>41</v>
      </c>
      <c r="N692" s="2">
        <v>45044</v>
      </c>
      <c r="O692" s="2">
        <v>45044.208333333336</v>
      </c>
      <c r="P692" t="s">
        <v>28</v>
      </c>
      <c r="Q692" t="s">
        <v>38</v>
      </c>
      <c r="R692" t="s">
        <v>43</v>
      </c>
      <c r="S692">
        <v>11</v>
      </c>
      <c r="T692">
        <v>12</v>
      </c>
      <c r="U692" t="s">
        <v>68</v>
      </c>
      <c r="V692" t="str">
        <f t="shared" si="10"/>
        <v>Feb-2023</v>
      </c>
      <c r="W692" s="16">
        <f>Table1[[#This Row],[Consultation Date]] - Table1[[#This Row],[Appointment Date]]</f>
        <v>0.20833333333575865</v>
      </c>
    </row>
    <row r="693" spans="1:23" x14ac:dyDescent="0.3">
      <c r="A693" t="s">
        <v>750</v>
      </c>
      <c r="B693">
        <v>26</v>
      </c>
      <c r="C693" t="s">
        <v>45</v>
      </c>
      <c r="D693" s="2">
        <v>45325</v>
      </c>
      <c r="E693" s="2">
        <v>45446</v>
      </c>
      <c r="F693">
        <v>4</v>
      </c>
      <c r="G693" t="s">
        <v>23</v>
      </c>
      <c r="H693">
        <v>2</v>
      </c>
      <c r="I693" t="s">
        <v>35</v>
      </c>
      <c r="J693">
        <v>9725</v>
      </c>
      <c r="K693" t="s">
        <v>53</v>
      </c>
      <c r="L693" t="s">
        <v>54</v>
      </c>
      <c r="M693" t="s">
        <v>41</v>
      </c>
      <c r="N693" s="2">
        <v>45350</v>
      </c>
      <c r="O693" s="2">
        <v>45351.416666666664</v>
      </c>
      <c r="P693" t="s">
        <v>55</v>
      </c>
      <c r="Q693" t="s">
        <v>29</v>
      </c>
      <c r="R693" t="s">
        <v>43</v>
      </c>
      <c r="S693">
        <v>11</v>
      </c>
      <c r="T693">
        <v>8</v>
      </c>
      <c r="U693" t="s">
        <v>31</v>
      </c>
      <c r="V693" t="str">
        <f t="shared" si="10"/>
        <v>Feb-2024</v>
      </c>
      <c r="W693" s="16">
        <f>Table1[[#This Row],[Consultation Date]] - Table1[[#This Row],[Appointment Date]]</f>
        <v>1.4166666666642413</v>
      </c>
    </row>
    <row r="694" spans="1:23" x14ac:dyDescent="0.3">
      <c r="A694" t="s">
        <v>751</v>
      </c>
      <c r="B694">
        <v>63</v>
      </c>
      <c r="C694" t="s">
        <v>62</v>
      </c>
      <c r="D694" s="2">
        <v>45158</v>
      </c>
      <c r="E694" s="2">
        <v>45164</v>
      </c>
      <c r="F694">
        <v>6</v>
      </c>
      <c r="G694" t="s">
        <v>23</v>
      </c>
      <c r="H694">
        <v>3</v>
      </c>
      <c r="I694" t="s">
        <v>71</v>
      </c>
      <c r="J694">
        <v>48205</v>
      </c>
      <c r="K694" t="s">
        <v>36</v>
      </c>
      <c r="L694" t="s">
        <v>26</v>
      </c>
      <c r="M694" t="s">
        <v>41</v>
      </c>
      <c r="N694" s="2">
        <v>45157</v>
      </c>
      <c r="O694" s="2">
        <v>45157.041666666664</v>
      </c>
      <c r="P694" t="s">
        <v>42</v>
      </c>
      <c r="Q694" t="s">
        <v>29</v>
      </c>
      <c r="R694" t="s">
        <v>43</v>
      </c>
      <c r="S694">
        <v>5</v>
      </c>
      <c r="T694">
        <v>10</v>
      </c>
      <c r="U694" t="s">
        <v>68</v>
      </c>
      <c r="V694" t="str">
        <f t="shared" si="10"/>
        <v>Aug-2023</v>
      </c>
      <c r="W694" s="16">
        <f>Table1[[#This Row],[Consultation Date]] - Table1[[#This Row],[Appointment Date]]</f>
        <v>4.1666666664241347E-2</v>
      </c>
    </row>
    <row r="695" spans="1:23" x14ac:dyDescent="0.3">
      <c r="A695" t="s">
        <v>752</v>
      </c>
      <c r="B695">
        <v>89</v>
      </c>
      <c r="C695" t="s">
        <v>41</v>
      </c>
      <c r="D695" s="2">
        <v>45462</v>
      </c>
      <c r="E695" s="2">
        <v>45473</v>
      </c>
      <c r="F695">
        <v>11</v>
      </c>
      <c r="G695" t="s">
        <v>50</v>
      </c>
      <c r="H695">
        <v>3</v>
      </c>
      <c r="I695" t="s">
        <v>35</v>
      </c>
      <c r="J695">
        <v>25684</v>
      </c>
      <c r="K695" t="s">
        <v>67</v>
      </c>
      <c r="L695" t="s">
        <v>54</v>
      </c>
      <c r="M695" t="s">
        <v>27</v>
      </c>
      <c r="N695" s="2">
        <v>45461</v>
      </c>
      <c r="O695" s="2">
        <v>45462</v>
      </c>
      <c r="P695" t="s">
        <v>37</v>
      </c>
      <c r="Q695" t="s">
        <v>29</v>
      </c>
      <c r="R695" t="s">
        <v>47</v>
      </c>
      <c r="S695">
        <v>6</v>
      </c>
      <c r="T695">
        <v>12</v>
      </c>
      <c r="U695" t="s">
        <v>68</v>
      </c>
      <c r="V695" t="str">
        <f t="shared" si="10"/>
        <v>Jun-2024</v>
      </c>
      <c r="W695" s="16">
        <f>Table1[[#This Row],[Consultation Date]] - Table1[[#This Row],[Appointment Date]]</f>
        <v>1</v>
      </c>
    </row>
    <row r="696" spans="1:23" x14ac:dyDescent="0.3">
      <c r="A696" t="s">
        <v>753</v>
      </c>
      <c r="B696">
        <v>86</v>
      </c>
      <c r="C696" t="s">
        <v>52</v>
      </c>
      <c r="D696" s="2">
        <v>45316</v>
      </c>
      <c r="E696" s="2">
        <v>45384</v>
      </c>
      <c r="F696">
        <v>10</v>
      </c>
      <c r="G696" t="s">
        <v>40</v>
      </c>
      <c r="H696">
        <v>2</v>
      </c>
      <c r="I696" t="s">
        <v>35</v>
      </c>
      <c r="J696">
        <v>31325</v>
      </c>
      <c r="K696" t="s">
        <v>60</v>
      </c>
      <c r="L696" t="s">
        <v>54</v>
      </c>
      <c r="M696" t="s">
        <v>27</v>
      </c>
      <c r="N696" s="2">
        <v>45313</v>
      </c>
      <c r="O696" s="2">
        <v>45313.875</v>
      </c>
      <c r="P696" t="s">
        <v>28</v>
      </c>
      <c r="Q696" t="s">
        <v>29</v>
      </c>
      <c r="R696" t="s">
        <v>47</v>
      </c>
      <c r="S696">
        <v>11</v>
      </c>
      <c r="T696">
        <v>8</v>
      </c>
      <c r="U696" t="s">
        <v>31</v>
      </c>
      <c r="V696" t="str">
        <f t="shared" si="10"/>
        <v>Jan-2024</v>
      </c>
      <c r="W696" s="16">
        <f>Table1[[#This Row],[Consultation Date]] - Table1[[#This Row],[Appointment Date]]</f>
        <v>0.875</v>
      </c>
    </row>
    <row r="697" spans="1:23" x14ac:dyDescent="0.3">
      <c r="A697" t="s">
        <v>754</v>
      </c>
      <c r="B697">
        <v>59</v>
      </c>
      <c r="C697" t="s">
        <v>33</v>
      </c>
      <c r="D697" s="2">
        <v>45447</v>
      </c>
      <c r="E697" s="2">
        <v>45396</v>
      </c>
      <c r="F697">
        <v>8</v>
      </c>
      <c r="G697" t="s">
        <v>34</v>
      </c>
      <c r="H697">
        <v>2</v>
      </c>
      <c r="I697" t="s">
        <v>35</v>
      </c>
      <c r="J697">
        <v>37542</v>
      </c>
      <c r="K697" t="s">
        <v>67</v>
      </c>
      <c r="L697" t="s">
        <v>54</v>
      </c>
      <c r="M697" t="s">
        <v>27</v>
      </c>
      <c r="N697" s="2">
        <v>45386</v>
      </c>
      <c r="O697" s="2">
        <v>45386.375</v>
      </c>
      <c r="P697" t="s">
        <v>55</v>
      </c>
      <c r="Q697" t="s">
        <v>29</v>
      </c>
      <c r="R697" t="s">
        <v>43</v>
      </c>
      <c r="S697">
        <v>4</v>
      </c>
      <c r="T697">
        <v>10</v>
      </c>
      <c r="U697" t="s">
        <v>48</v>
      </c>
      <c r="V697" t="str">
        <f t="shared" si="10"/>
        <v>Jun-2024</v>
      </c>
      <c r="W697" s="16">
        <f>Table1[[#This Row],[Consultation Date]] - Table1[[#This Row],[Appointment Date]]</f>
        <v>0.375</v>
      </c>
    </row>
    <row r="698" spans="1:23" x14ac:dyDescent="0.3">
      <c r="A698" t="s">
        <v>755</v>
      </c>
      <c r="B698">
        <v>27</v>
      </c>
      <c r="C698" t="s">
        <v>62</v>
      </c>
      <c r="D698" s="2">
        <v>45380</v>
      </c>
      <c r="E698" s="2">
        <v>45447</v>
      </c>
      <c r="F698">
        <v>8</v>
      </c>
      <c r="G698" t="s">
        <v>40</v>
      </c>
      <c r="H698">
        <v>5</v>
      </c>
      <c r="I698" t="s">
        <v>24</v>
      </c>
      <c r="J698">
        <v>18092</v>
      </c>
      <c r="K698" t="s">
        <v>53</v>
      </c>
      <c r="L698" t="s">
        <v>54</v>
      </c>
      <c r="M698" t="s">
        <v>27</v>
      </c>
      <c r="N698" s="2">
        <v>45379</v>
      </c>
      <c r="O698" s="2">
        <v>45380.041666666664</v>
      </c>
      <c r="P698" t="s">
        <v>37</v>
      </c>
      <c r="Q698" t="s">
        <v>29</v>
      </c>
      <c r="R698" t="s">
        <v>43</v>
      </c>
      <c r="S698">
        <v>5</v>
      </c>
      <c r="T698">
        <v>10</v>
      </c>
      <c r="U698" t="s">
        <v>31</v>
      </c>
      <c r="V698" t="str">
        <f t="shared" si="10"/>
        <v>Mar-2024</v>
      </c>
      <c r="W698" s="16">
        <f>Table1[[#This Row],[Consultation Date]] - Table1[[#This Row],[Appointment Date]]</f>
        <v>1.0416666666642413</v>
      </c>
    </row>
    <row r="699" spans="1:23" x14ac:dyDescent="0.3">
      <c r="A699" t="s">
        <v>756</v>
      </c>
      <c r="B699">
        <v>49</v>
      </c>
      <c r="C699" t="s">
        <v>22</v>
      </c>
      <c r="D699" s="2">
        <v>44937</v>
      </c>
      <c r="E699" s="2">
        <v>45244</v>
      </c>
      <c r="F699">
        <v>13</v>
      </c>
      <c r="G699" t="s">
        <v>23</v>
      </c>
      <c r="H699">
        <v>4</v>
      </c>
      <c r="I699" t="s">
        <v>46</v>
      </c>
      <c r="J699">
        <v>35382</v>
      </c>
      <c r="K699" t="s">
        <v>36</v>
      </c>
      <c r="L699" t="s">
        <v>26</v>
      </c>
      <c r="M699" t="s">
        <v>27</v>
      </c>
      <c r="N699" s="2">
        <v>45229</v>
      </c>
      <c r="O699" s="2">
        <v>45230.541666666664</v>
      </c>
      <c r="P699" t="s">
        <v>37</v>
      </c>
      <c r="Q699" t="s">
        <v>29</v>
      </c>
      <c r="R699" t="s">
        <v>43</v>
      </c>
      <c r="S699">
        <v>6</v>
      </c>
      <c r="T699">
        <v>8</v>
      </c>
      <c r="U699" t="s">
        <v>68</v>
      </c>
      <c r="V699" t="str">
        <f t="shared" si="10"/>
        <v>Jan-2023</v>
      </c>
      <c r="W699" s="16">
        <f>Table1[[#This Row],[Consultation Date]] - Table1[[#This Row],[Appointment Date]]</f>
        <v>1.5416666666642413</v>
      </c>
    </row>
    <row r="700" spans="1:23" x14ac:dyDescent="0.3">
      <c r="A700" t="s">
        <v>757</v>
      </c>
      <c r="B700">
        <v>77</v>
      </c>
      <c r="C700" t="s">
        <v>41</v>
      </c>
      <c r="D700" s="2">
        <v>45366</v>
      </c>
      <c r="E700" s="2">
        <v>45371</v>
      </c>
      <c r="F700">
        <v>5</v>
      </c>
      <c r="G700" t="s">
        <v>23</v>
      </c>
      <c r="H700">
        <v>1</v>
      </c>
      <c r="I700" t="s">
        <v>24</v>
      </c>
      <c r="J700">
        <v>44770</v>
      </c>
      <c r="K700" t="s">
        <v>53</v>
      </c>
      <c r="L700" t="s">
        <v>54</v>
      </c>
      <c r="M700" t="s">
        <v>27</v>
      </c>
      <c r="N700" s="2">
        <v>45365</v>
      </c>
      <c r="O700" s="2">
        <v>45366.125</v>
      </c>
      <c r="P700" t="s">
        <v>42</v>
      </c>
      <c r="Q700" t="s">
        <v>29</v>
      </c>
      <c r="R700" t="s">
        <v>43</v>
      </c>
      <c r="S700">
        <v>4</v>
      </c>
      <c r="T700">
        <v>12</v>
      </c>
      <c r="U700" t="s">
        <v>31</v>
      </c>
      <c r="V700" t="str">
        <f t="shared" si="10"/>
        <v>Mar-2024</v>
      </c>
      <c r="W700" s="16">
        <f>Table1[[#This Row],[Consultation Date]] - Table1[[#This Row],[Appointment Date]]</f>
        <v>1.125</v>
      </c>
    </row>
    <row r="701" spans="1:23" x14ac:dyDescent="0.3">
      <c r="A701" t="s">
        <v>758</v>
      </c>
      <c r="B701">
        <v>33</v>
      </c>
      <c r="C701" t="s">
        <v>52</v>
      </c>
      <c r="D701" s="2">
        <v>45180</v>
      </c>
      <c r="E701" s="2">
        <v>45252</v>
      </c>
      <c r="F701">
        <v>13</v>
      </c>
      <c r="G701" t="s">
        <v>63</v>
      </c>
      <c r="H701">
        <v>1</v>
      </c>
      <c r="I701" t="s">
        <v>24</v>
      </c>
      <c r="J701">
        <v>30457</v>
      </c>
      <c r="K701" t="s">
        <v>67</v>
      </c>
      <c r="L701" t="s">
        <v>54</v>
      </c>
      <c r="M701" t="s">
        <v>27</v>
      </c>
      <c r="N701" s="2">
        <v>45027</v>
      </c>
      <c r="O701" s="2">
        <v>45057</v>
      </c>
      <c r="P701" t="s">
        <v>28</v>
      </c>
      <c r="Q701" t="s">
        <v>29</v>
      </c>
      <c r="R701" t="s">
        <v>30</v>
      </c>
      <c r="S701">
        <v>7</v>
      </c>
      <c r="T701">
        <v>10</v>
      </c>
      <c r="U701" t="s">
        <v>68</v>
      </c>
      <c r="V701" t="str">
        <f t="shared" si="10"/>
        <v>Sep-2023</v>
      </c>
      <c r="W701" s="16">
        <f>Table1[[#This Row],[Consultation Date]] - Table1[[#This Row],[Appointment Date]]</f>
        <v>30</v>
      </c>
    </row>
    <row r="702" spans="1:23" x14ac:dyDescent="0.3">
      <c r="A702" t="s">
        <v>759</v>
      </c>
      <c r="B702">
        <v>1</v>
      </c>
      <c r="C702" t="s">
        <v>45</v>
      </c>
      <c r="D702" s="2">
        <v>44988</v>
      </c>
      <c r="E702" s="2">
        <v>45202</v>
      </c>
      <c r="F702">
        <v>7</v>
      </c>
      <c r="G702" t="s">
        <v>50</v>
      </c>
      <c r="H702">
        <v>3</v>
      </c>
      <c r="I702" t="s">
        <v>35</v>
      </c>
      <c r="J702">
        <v>11131</v>
      </c>
      <c r="K702" t="s">
        <v>36</v>
      </c>
      <c r="L702" t="s">
        <v>54</v>
      </c>
      <c r="M702" t="s">
        <v>27</v>
      </c>
      <c r="N702" s="2">
        <v>44988</v>
      </c>
      <c r="O702" s="2">
        <v>45019.458333333336</v>
      </c>
      <c r="P702" t="s">
        <v>64</v>
      </c>
      <c r="Q702" t="s">
        <v>29</v>
      </c>
      <c r="R702" t="s">
        <v>30</v>
      </c>
      <c r="S702">
        <v>10</v>
      </c>
      <c r="T702">
        <v>10</v>
      </c>
      <c r="U702" t="s">
        <v>68</v>
      </c>
      <c r="V702" t="str">
        <f t="shared" si="10"/>
        <v>Mar-2023</v>
      </c>
      <c r="W702" s="16">
        <f>Table1[[#This Row],[Consultation Date]] - Table1[[#This Row],[Appointment Date]]</f>
        <v>31.458333333335759</v>
      </c>
    </row>
    <row r="703" spans="1:23" x14ac:dyDescent="0.3">
      <c r="A703" t="s">
        <v>760</v>
      </c>
      <c r="B703">
        <v>21</v>
      </c>
      <c r="C703" t="s">
        <v>52</v>
      </c>
      <c r="D703" s="2">
        <v>45264</v>
      </c>
      <c r="E703" s="2">
        <v>45037</v>
      </c>
      <c r="F703">
        <v>9</v>
      </c>
      <c r="G703" t="s">
        <v>63</v>
      </c>
      <c r="H703">
        <v>5</v>
      </c>
      <c r="I703" t="s">
        <v>24</v>
      </c>
      <c r="J703">
        <v>30215</v>
      </c>
      <c r="K703" t="s">
        <v>36</v>
      </c>
      <c r="L703" t="s">
        <v>54</v>
      </c>
      <c r="M703" t="s">
        <v>27</v>
      </c>
      <c r="N703" s="2">
        <v>45264</v>
      </c>
      <c r="O703" s="2">
        <v>45029.833333333336</v>
      </c>
      <c r="P703" t="s">
        <v>37</v>
      </c>
      <c r="Q703" t="s">
        <v>29</v>
      </c>
      <c r="R703" t="s">
        <v>30</v>
      </c>
      <c r="S703">
        <v>10</v>
      </c>
      <c r="T703">
        <v>10</v>
      </c>
      <c r="U703" t="s">
        <v>31</v>
      </c>
      <c r="V703" t="str">
        <f t="shared" si="10"/>
        <v>Dec-2023</v>
      </c>
      <c r="W703" s="16">
        <f>Table1[[#This Row],[Consultation Date]] - Table1[[#This Row],[Appointment Date]]</f>
        <v>-234.16666666666424</v>
      </c>
    </row>
    <row r="704" spans="1:23" x14ac:dyDescent="0.3">
      <c r="A704" t="s">
        <v>761</v>
      </c>
      <c r="B704">
        <v>55</v>
      </c>
      <c r="C704" t="s">
        <v>22</v>
      </c>
      <c r="D704" s="2">
        <v>44934</v>
      </c>
      <c r="E704" s="2">
        <v>45207</v>
      </c>
      <c r="F704">
        <v>9</v>
      </c>
      <c r="G704" t="s">
        <v>63</v>
      </c>
      <c r="H704">
        <v>3</v>
      </c>
      <c r="I704" t="s">
        <v>35</v>
      </c>
      <c r="J704">
        <v>17612</v>
      </c>
      <c r="K704" t="s">
        <v>53</v>
      </c>
      <c r="L704" t="s">
        <v>54</v>
      </c>
      <c r="M704" t="s">
        <v>41</v>
      </c>
      <c r="N704" s="2">
        <v>45134</v>
      </c>
      <c r="O704" s="2">
        <v>45134.5</v>
      </c>
      <c r="P704" t="s">
        <v>55</v>
      </c>
      <c r="Q704" t="s">
        <v>29</v>
      </c>
      <c r="R704" t="s">
        <v>47</v>
      </c>
      <c r="S704">
        <v>8</v>
      </c>
      <c r="T704">
        <v>10</v>
      </c>
      <c r="U704" t="s">
        <v>68</v>
      </c>
      <c r="V704" t="str">
        <f t="shared" si="10"/>
        <v>Jan-2023</v>
      </c>
      <c r="W704" s="16">
        <f>Table1[[#This Row],[Consultation Date]] - Table1[[#This Row],[Appointment Date]]</f>
        <v>0.5</v>
      </c>
    </row>
    <row r="705" spans="1:23" x14ac:dyDescent="0.3">
      <c r="A705" t="s">
        <v>762</v>
      </c>
      <c r="B705">
        <v>6</v>
      </c>
      <c r="C705" t="s">
        <v>33</v>
      </c>
      <c r="D705" s="2">
        <v>45054</v>
      </c>
      <c r="E705" s="2">
        <v>45268</v>
      </c>
      <c r="F705">
        <v>7</v>
      </c>
      <c r="G705" t="s">
        <v>63</v>
      </c>
      <c r="H705">
        <v>1</v>
      </c>
      <c r="I705" t="s">
        <v>46</v>
      </c>
      <c r="J705">
        <v>42305</v>
      </c>
      <c r="K705" t="s">
        <v>60</v>
      </c>
      <c r="L705" t="s">
        <v>54</v>
      </c>
      <c r="M705" t="s">
        <v>41</v>
      </c>
      <c r="N705" s="2">
        <v>44965</v>
      </c>
      <c r="O705" s="2">
        <v>44993.291666666664</v>
      </c>
      <c r="P705" t="s">
        <v>42</v>
      </c>
      <c r="Q705" t="s">
        <v>29</v>
      </c>
      <c r="R705" t="s">
        <v>43</v>
      </c>
      <c r="S705">
        <v>6</v>
      </c>
      <c r="T705">
        <v>12</v>
      </c>
      <c r="U705" t="s">
        <v>48</v>
      </c>
      <c r="V705" t="str">
        <f t="shared" si="10"/>
        <v>May-2023</v>
      </c>
      <c r="W705" s="16">
        <f>Table1[[#This Row],[Consultation Date]] - Table1[[#This Row],[Appointment Date]]</f>
        <v>28.291666666664241</v>
      </c>
    </row>
    <row r="706" spans="1:23" x14ac:dyDescent="0.3">
      <c r="A706" t="s">
        <v>763</v>
      </c>
      <c r="B706">
        <v>81</v>
      </c>
      <c r="C706" t="s">
        <v>33</v>
      </c>
      <c r="D706" s="2">
        <v>45197</v>
      </c>
      <c r="E706" s="2">
        <v>44936</v>
      </c>
      <c r="F706">
        <v>3</v>
      </c>
      <c r="G706" t="s">
        <v>50</v>
      </c>
      <c r="H706">
        <v>2</v>
      </c>
      <c r="I706" t="s">
        <v>71</v>
      </c>
      <c r="J706">
        <v>18091</v>
      </c>
      <c r="K706" t="s">
        <v>67</v>
      </c>
      <c r="L706" t="s">
        <v>26</v>
      </c>
      <c r="M706" t="s">
        <v>27</v>
      </c>
      <c r="N706" s="2">
        <v>45193</v>
      </c>
      <c r="O706" s="2">
        <v>45193.208333333336</v>
      </c>
      <c r="P706" t="s">
        <v>42</v>
      </c>
      <c r="Q706" t="s">
        <v>38</v>
      </c>
      <c r="R706" t="s">
        <v>30</v>
      </c>
      <c r="S706">
        <v>4</v>
      </c>
      <c r="T706">
        <v>8</v>
      </c>
      <c r="U706" t="s">
        <v>68</v>
      </c>
      <c r="V706" t="str">
        <f t="shared" ref="V706:V769" si="11">TEXT(D706,"mmm-yyyy")</f>
        <v>Sep-2023</v>
      </c>
      <c r="W706" s="16">
        <f>Table1[[#This Row],[Consultation Date]] - Table1[[#This Row],[Appointment Date]]</f>
        <v>0.20833333333575865</v>
      </c>
    </row>
    <row r="707" spans="1:23" x14ac:dyDescent="0.3">
      <c r="A707" t="s">
        <v>764</v>
      </c>
      <c r="B707">
        <v>69</v>
      </c>
      <c r="C707" t="s">
        <v>41</v>
      </c>
      <c r="D707" s="2">
        <v>45010</v>
      </c>
      <c r="E707" s="2">
        <v>45142</v>
      </c>
      <c r="F707">
        <v>14</v>
      </c>
      <c r="G707" t="s">
        <v>50</v>
      </c>
      <c r="H707">
        <v>4</v>
      </c>
      <c r="I707" t="s">
        <v>35</v>
      </c>
      <c r="J707">
        <v>40103</v>
      </c>
      <c r="K707" t="s">
        <v>25</v>
      </c>
      <c r="L707" t="s">
        <v>54</v>
      </c>
      <c r="M707" t="s">
        <v>41</v>
      </c>
      <c r="N707" s="2">
        <v>45010</v>
      </c>
      <c r="O707" s="2">
        <v>45010.083333333336</v>
      </c>
      <c r="P707" t="s">
        <v>37</v>
      </c>
      <c r="Q707" t="s">
        <v>29</v>
      </c>
      <c r="R707" t="s">
        <v>43</v>
      </c>
      <c r="S707">
        <v>11</v>
      </c>
      <c r="T707">
        <v>8</v>
      </c>
      <c r="U707" t="s">
        <v>31</v>
      </c>
      <c r="V707" t="str">
        <f t="shared" si="11"/>
        <v>Mar-2023</v>
      </c>
      <c r="W707" s="16">
        <f>Table1[[#This Row],[Consultation Date]] - Table1[[#This Row],[Appointment Date]]</f>
        <v>8.3333333335758653E-2</v>
      </c>
    </row>
    <row r="708" spans="1:23" x14ac:dyDescent="0.3">
      <c r="A708" t="s">
        <v>765</v>
      </c>
      <c r="B708">
        <v>5</v>
      </c>
      <c r="C708" t="s">
        <v>33</v>
      </c>
      <c r="D708" s="2">
        <v>45205</v>
      </c>
      <c r="E708" s="2">
        <v>45091</v>
      </c>
      <c r="F708">
        <v>4</v>
      </c>
      <c r="G708" t="s">
        <v>57</v>
      </c>
      <c r="H708">
        <v>5</v>
      </c>
      <c r="I708" t="s">
        <v>46</v>
      </c>
      <c r="J708">
        <v>42089</v>
      </c>
      <c r="K708" t="s">
        <v>25</v>
      </c>
      <c r="L708" t="s">
        <v>54</v>
      </c>
      <c r="M708" t="s">
        <v>27</v>
      </c>
      <c r="N708" s="2">
        <v>45175</v>
      </c>
      <c r="O708" s="2">
        <v>45205.583333333336</v>
      </c>
      <c r="P708" t="s">
        <v>37</v>
      </c>
      <c r="Q708" t="s">
        <v>29</v>
      </c>
      <c r="R708" t="s">
        <v>43</v>
      </c>
      <c r="S708">
        <v>5</v>
      </c>
      <c r="T708">
        <v>8</v>
      </c>
      <c r="U708" t="s">
        <v>48</v>
      </c>
      <c r="V708" t="str">
        <f t="shared" si="11"/>
        <v>Oct-2023</v>
      </c>
      <c r="W708" s="16">
        <f>Table1[[#This Row],[Consultation Date]] - Table1[[#This Row],[Appointment Date]]</f>
        <v>30.583333333335759</v>
      </c>
    </row>
    <row r="709" spans="1:23" x14ac:dyDescent="0.3">
      <c r="A709" t="s">
        <v>766</v>
      </c>
      <c r="B709">
        <v>3</v>
      </c>
      <c r="C709" t="s">
        <v>41</v>
      </c>
      <c r="D709" s="2">
        <v>44994</v>
      </c>
      <c r="E709" s="2">
        <v>45185</v>
      </c>
      <c r="F709">
        <v>13</v>
      </c>
      <c r="G709" t="s">
        <v>40</v>
      </c>
      <c r="H709">
        <v>2</v>
      </c>
      <c r="I709" t="s">
        <v>71</v>
      </c>
      <c r="J709">
        <v>34759</v>
      </c>
      <c r="K709" t="s">
        <v>53</v>
      </c>
      <c r="L709" t="s">
        <v>54</v>
      </c>
      <c r="M709" t="s">
        <v>27</v>
      </c>
      <c r="N709" s="2">
        <v>44966</v>
      </c>
      <c r="O709" s="2">
        <v>44966.208333333336</v>
      </c>
      <c r="P709" t="s">
        <v>37</v>
      </c>
      <c r="Q709" t="s">
        <v>29</v>
      </c>
      <c r="R709" t="s">
        <v>47</v>
      </c>
      <c r="S709">
        <v>4</v>
      </c>
      <c r="T709">
        <v>10</v>
      </c>
      <c r="U709" t="s">
        <v>48</v>
      </c>
      <c r="V709" t="str">
        <f t="shared" si="11"/>
        <v>Mar-2023</v>
      </c>
      <c r="W709" s="16">
        <f>Table1[[#This Row],[Consultation Date]] - Table1[[#This Row],[Appointment Date]]</f>
        <v>0.20833333333575865</v>
      </c>
    </row>
    <row r="710" spans="1:23" x14ac:dyDescent="0.3">
      <c r="A710" t="s">
        <v>767</v>
      </c>
      <c r="B710">
        <v>53</v>
      </c>
      <c r="C710" t="s">
        <v>41</v>
      </c>
      <c r="D710" s="2">
        <v>45104</v>
      </c>
      <c r="E710" s="2">
        <v>45114</v>
      </c>
      <c r="F710">
        <v>10</v>
      </c>
      <c r="G710" t="s">
        <v>40</v>
      </c>
      <c r="H710">
        <v>4</v>
      </c>
      <c r="I710" t="s">
        <v>66</v>
      </c>
      <c r="J710">
        <v>5559</v>
      </c>
      <c r="K710" t="s">
        <v>67</v>
      </c>
      <c r="L710" t="s">
        <v>26</v>
      </c>
      <c r="M710" t="s">
        <v>27</v>
      </c>
      <c r="N710" s="2">
        <v>45104</v>
      </c>
      <c r="O710" s="2">
        <v>45104.041666666664</v>
      </c>
      <c r="P710" t="s">
        <v>64</v>
      </c>
      <c r="Q710" t="s">
        <v>29</v>
      </c>
      <c r="R710" t="s">
        <v>47</v>
      </c>
      <c r="S710">
        <v>5</v>
      </c>
      <c r="T710">
        <v>12</v>
      </c>
      <c r="U710" t="s">
        <v>68</v>
      </c>
      <c r="V710" t="str">
        <f t="shared" si="11"/>
        <v>Jun-2023</v>
      </c>
      <c r="W710" s="16">
        <f>Table1[[#This Row],[Consultation Date]] - Table1[[#This Row],[Appointment Date]]</f>
        <v>4.1666666664241347E-2</v>
      </c>
    </row>
    <row r="711" spans="1:23" x14ac:dyDescent="0.3">
      <c r="A711" t="s">
        <v>768</v>
      </c>
      <c r="B711">
        <v>23</v>
      </c>
      <c r="C711" t="s">
        <v>41</v>
      </c>
      <c r="D711" s="2">
        <v>45003</v>
      </c>
      <c r="E711" s="2">
        <v>45006</v>
      </c>
      <c r="F711">
        <v>3</v>
      </c>
      <c r="G711" t="s">
        <v>57</v>
      </c>
      <c r="H711">
        <v>5</v>
      </c>
      <c r="I711" t="s">
        <v>35</v>
      </c>
      <c r="J711">
        <v>5713</v>
      </c>
      <c r="K711" t="s">
        <v>67</v>
      </c>
      <c r="L711" t="s">
        <v>54</v>
      </c>
      <c r="M711" t="s">
        <v>27</v>
      </c>
      <c r="N711" s="2">
        <v>45003</v>
      </c>
      <c r="O711" s="2">
        <v>45003.708333333336</v>
      </c>
      <c r="P711" t="s">
        <v>37</v>
      </c>
      <c r="Q711" t="s">
        <v>29</v>
      </c>
      <c r="R711" t="s">
        <v>30</v>
      </c>
      <c r="S711">
        <v>10</v>
      </c>
      <c r="T711">
        <v>8</v>
      </c>
      <c r="U711" t="s">
        <v>31</v>
      </c>
      <c r="V711" t="str">
        <f t="shared" si="11"/>
        <v>Mar-2023</v>
      </c>
      <c r="W711" s="16">
        <f>Table1[[#This Row],[Consultation Date]] - Table1[[#This Row],[Appointment Date]]</f>
        <v>0.70833333333575865</v>
      </c>
    </row>
    <row r="712" spans="1:23" x14ac:dyDescent="0.3">
      <c r="A712" t="s">
        <v>769</v>
      </c>
      <c r="B712">
        <v>53</v>
      </c>
      <c r="C712" t="s">
        <v>45</v>
      </c>
      <c r="D712" s="2">
        <v>45205</v>
      </c>
      <c r="E712" s="2">
        <v>45101</v>
      </c>
      <c r="F712">
        <v>14</v>
      </c>
      <c r="G712" t="s">
        <v>57</v>
      </c>
      <c r="H712">
        <v>5</v>
      </c>
      <c r="I712" t="s">
        <v>35</v>
      </c>
      <c r="J712">
        <v>42361</v>
      </c>
      <c r="K712" t="s">
        <v>53</v>
      </c>
      <c r="L712" t="s">
        <v>26</v>
      </c>
      <c r="M712" t="s">
        <v>41</v>
      </c>
      <c r="N712" s="2">
        <v>45083</v>
      </c>
      <c r="O712" s="2">
        <v>45083.583333333336</v>
      </c>
      <c r="P712" t="s">
        <v>28</v>
      </c>
      <c r="Q712" t="s">
        <v>29</v>
      </c>
      <c r="R712" t="s">
        <v>30</v>
      </c>
      <c r="S712">
        <v>8</v>
      </c>
      <c r="T712">
        <v>12</v>
      </c>
      <c r="U712" t="s">
        <v>68</v>
      </c>
      <c r="V712" t="str">
        <f t="shared" si="11"/>
        <v>Oct-2023</v>
      </c>
      <c r="W712" s="16">
        <f>Table1[[#This Row],[Consultation Date]] - Table1[[#This Row],[Appointment Date]]</f>
        <v>0.58333333333575865</v>
      </c>
    </row>
    <row r="713" spans="1:23" x14ac:dyDescent="0.3">
      <c r="A713" t="s">
        <v>770</v>
      </c>
      <c r="B713">
        <v>37</v>
      </c>
      <c r="C713" t="s">
        <v>62</v>
      </c>
      <c r="D713" s="2">
        <v>44986</v>
      </c>
      <c r="E713" s="2">
        <v>45139</v>
      </c>
      <c r="F713">
        <v>5</v>
      </c>
      <c r="G713" t="s">
        <v>23</v>
      </c>
      <c r="H713">
        <v>1</v>
      </c>
      <c r="I713" t="s">
        <v>66</v>
      </c>
      <c r="J713">
        <v>20184</v>
      </c>
      <c r="K713" t="s">
        <v>67</v>
      </c>
      <c r="L713" t="s">
        <v>54</v>
      </c>
      <c r="M713" t="s">
        <v>27</v>
      </c>
      <c r="N713" s="2">
        <v>44986</v>
      </c>
      <c r="O713" s="2">
        <v>44986.125</v>
      </c>
      <c r="P713" t="s">
        <v>55</v>
      </c>
      <c r="Q713" t="s">
        <v>29</v>
      </c>
      <c r="R713" t="s">
        <v>47</v>
      </c>
      <c r="S713">
        <v>11</v>
      </c>
      <c r="T713">
        <v>8</v>
      </c>
      <c r="U713" t="s">
        <v>68</v>
      </c>
      <c r="V713" t="str">
        <f t="shared" si="11"/>
        <v>Mar-2023</v>
      </c>
      <c r="W713" s="16">
        <f>Table1[[#This Row],[Consultation Date]] - Table1[[#This Row],[Appointment Date]]</f>
        <v>0.125</v>
      </c>
    </row>
    <row r="714" spans="1:23" x14ac:dyDescent="0.3">
      <c r="A714" t="s">
        <v>771</v>
      </c>
      <c r="B714">
        <v>74</v>
      </c>
      <c r="C714" t="s">
        <v>41</v>
      </c>
      <c r="D714" s="2">
        <v>45345</v>
      </c>
      <c r="E714" s="2">
        <v>45346</v>
      </c>
      <c r="F714">
        <v>1</v>
      </c>
      <c r="G714" t="s">
        <v>63</v>
      </c>
      <c r="H714">
        <v>2</v>
      </c>
      <c r="I714" t="s">
        <v>66</v>
      </c>
      <c r="J714">
        <v>20261</v>
      </c>
      <c r="K714" t="s">
        <v>60</v>
      </c>
      <c r="L714" t="s">
        <v>26</v>
      </c>
      <c r="M714" t="s">
        <v>27</v>
      </c>
      <c r="N714" s="2">
        <v>45342</v>
      </c>
      <c r="O714" s="2">
        <v>45342.166666666664</v>
      </c>
      <c r="P714" t="s">
        <v>37</v>
      </c>
      <c r="Q714" t="s">
        <v>29</v>
      </c>
      <c r="R714" t="s">
        <v>47</v>
      </c>
      <c r="S714">
        <v>8</v>
      </c>
      <c r="T714">
        <v>10</v>
      </c>
      <c r="U714" t="s">
        <v>31</v>
      </c>
      <c r="V714" t="str">
        <f t="shared" si="11"/>
        <v>Feb-2024</v>
      </c>
      <c r="W714" s="16">
        <f>Table1[[#This Row],[Consultation Date]] - Table1[[#This Row],[Appointment Date]]</f>
        <v>0.16666666666424135</v>
      </c>
    </row>
    <row r="715" spans="1:23" x14ac:dyDescent="0.3">
      <c r="A715" t="s">
        <v>772</v>
      </c>
      <c r="B715">
        <v>74</v>
      </c>
      <c r="C715" t="s">
        <v>41</v>
      </c>
      <c r="D715" s="2">
        <v>45447</v>
      </c>
      <c r="E715" s="2">
        <v>45399</v>
      </c>
      <c r="F715">
        <v>11</v>
      </c>
      <c r="G715" t="s">
        <v>57</v>
      </c>
      <c r="H715">
        <v>5</v>
      </c>
      <c r="I715" t="s">
        <v>35</v>
      </c>
      <c r="J715">
        <v>25372</v>
      </c>
      <c r="K715" t="s">
        <v>53</v>
      </c>
      <c r="L715" t="s">
        <v>54</v>
      </c>
      <c r="M715" t="s">
        <v>27</v>
      </c>
      <c r="N715" s="2">
        <v>45326</v>
      </c>
      <c r="O715" s="2">
        <v>45355.083333333336</v>
      </c>
      <c r="P715" t="s">
        <v>64</v>
      </c>
      <c r="Q715" t="s">
        <v>29</v>
      </c>
      <c r="R715" t="s">
        <v>43</v>
      </c>
      <c r="S715">
        <v>4</v>
      </c>
      <c r="T715">
        <v>8</v>
      </c>
      <c r="U715" t="s">
        <v>31</v>
      </c>
      <c r="V715" t="str">
        <f t="shared" si="11"/>
        <v>Jun-2024</v>
      </c>
      <c r="W715" s="16">
        <f>Table1[[#This Row],[Consultation Date]] - Table1[[#This Row],[Appointment Date]]</f>
        <v>29.083333333335759</v>
      </c>
    </row>
    <row r="716" spans="1:23" x14ac:dyDescent="0.3">
      <c r="A716" t="s">
        <v>773</v>
      </c>
      <c r="B716">
        <v>83</v>
      </c>
      <c r="C716" t="s">
        <v>62</v>
      </c>
      <c r="D716" s="2">
        <v>45408</v>
      </c>
      <c r="E716" s="2">
        <v>45387</v>
      </c>
      <c r="F716">
        <v>8</v>
      </c>
      <c r="G716" t="s">
        <v>34</v>
      </c>
      <c r="H716">
        <v>5</v>
      </c>
      <c r="I716" t="s">
        <v>66</v>
      </c>
      <c r="J716">
        <v>37140</v>
      </c>
      <c r="K716" t="s">
        <v>60</v>
      </c>
      <c r="L716" t="s">
        <v>26</v>
      </c>
      <c r="M716" t="s">
        <v>27</v>
      </c>
      <c r="N716" s="2">
        <v>45403</v>
      </c>
      <c r="O716" s="2">
        <v>45404.375</v>
      </c>
      <c r="P716" t="s">
        <v>55</v>
      </c>
      <c r="Q716" t="s">
        <v>29</v>
      </c>
      <c r="R716" t="s">
        <v>43</v>
      </c>
      <c r="S716">
        <v>4</v>
      </c>
      <c r="T716">
        <v>10</v>
      </c>
      <c r="U716" t="s">
        <v>68</v>
      </c>
      <c r="V716" t="str">
        <f t="shared" si="11"/>
        <v>Apr-2024</v>
      </c>
      <c r="W716" s="16">
        <f>Table1[[#This Row],[Consultation Date]] - Table1[[#This Row],[Appointment Date]]</f>
        <v>1.375</v>
      </c>
    </row>
    <row r="717" spans="1:23" x14ac:dyDescent="0.3">
      <c r="A717" t="s">
        <v>774</v>
      </c>
      <c r="B717">
        <v>17</v>
      </c>
      <c r="C717" t="s">
        <v>52</v>
      </c>
      <c r="D717" s="2">
        <v>45225</v>
      </c>
      <c r="E717" s="2">
        <v>45180</v>
      </c>
      <c r="F717">
        <v>14</v>
      </c>
      <c r="G717" t="s">
        <v>40</v>
      </c>
      <c r="H717">
        <v>4</v>
      </c>
      <c r="I717" t="s">
        <v>24</v>
      </c>
      <c r="J717">
        <v>38024</v>
      </c>
      <c r="K717" t="s">
        <v>67</v>
      </c>
      <c r="L717" t="s">
        <v>54</v>
      </c>
      <c r="M717" t="s">
        <v>27</v>
      </c>
      <c r="N717" s="2">
        <v>45220</v>
      </c>
      <c r="O717" s="2">
        <v>45220.791666666664</v>
      </c>
      <c r="P717" t="s">
        <v>42</v>
      </c>
      <c r="Q717" t="s">
        <v>29</v>
      </c>
      <c r="R717" t="s">
        <v>30</v>
      </c>
      <c r="S717">
        <v>5</v>
      </c>
      <c r="T717">
        <v>10</v>
      </c>
      <c r="U717" t="s">
        <v>48</v>
      </c>
      <c r="V717" t="str">
        <f t="shared" si="11"/>
        <v>Oct-2023</v>
      </c>
      <c r="W717" s="16">
        <f>Table1[[#This Row],[Consultation Date]] - Table1[[#This Row],[Appointment Date]]</f>
        <v>0.79166666666424135</v>
      </c>
    </row>
    <row r="718" spans="1:23" x14ac:dyDescent="0.3">
      <c r="A718" t="s">
        <v>775</v>
      </c>
      <c r="B718">
        <v>85</v>
      </c>
      <c r="C718" t="s">
        <v>41</v>
      </c>
      <c r="D718" s="2">
        <v>44987</v>
      </c>
      <c r="E718" s="2">
        <v>45171</v>
      </c>
      <c r="F718">
        <v>6</v>
      </c>
      <c r="G718" t="s">
        <v>57</v>
      </c>
      <c r="H718">
        <v>1</v>
      </c>
      <c r="I718" t="s">
        <v>71</v>
      </c>
      <c r="J718">
        <v>37544</v>
      </c>
      <c r="K718" t="s">
        <v>53</v>
      </c>
      <c r="L718" t="s">
        <v>54</v>
      </c>
      <c r="M718" t="s">
        <v>27</v>
      </c>
      <c r="N718" s="2">
        <v>44987</v>
      </c>
      <c r="O718" s="2">
        <v>45018.708333333336</v>
      </c>
      <c r="P718" t="s">
        <v>37</v>
      </c>
      <c r="Q718" t="s">
        <v>29</v>
      </c>
      <c r="R718" t="s">
        <v>30</v>
      </c>
      <c r="S718">
        <v>5</v>
      </c>
      <c r="T718">
        <v>8</v>
      </c>
      <c r="U718" t="s">
        <v>68</v>
      </c>
      <c r="V718" t="str">
        <f t="shared" si="11"/>
        <v>Mar-2023</v>
      </c>
      <c r="W718" s="16">
        <f>Table1[[#This Row],[Consultation Date]] - Table1[[#This Row],[Appointment Date]]</f>
        <v>31.708333333335759</v>
      </c>
    </row>
    <row r="719" spans="1:23" x14ac:dyDescent="0.3">
      <c r="A719" t="s">
        <v>776</v>
      </c>
      <c r="B719">
        <v>78</v>
      </c>
      <c r="C719" t="s">
        <v>45</v>
      </c>
      <c r="D719" s="2">
        <v>45164</v>
      </c>
      <c r="E719" s="2">
        <v>45025</v>
      </c>
      <c r="F719">
        <v>9</v>
      </c>
      <c r="G719" t="s">
        <v>34</v>
      </c>
      <c r="H719">
        <v>3</v>
      </c>
      <c r="I719" t="s">
        <v>71</v>
      </c>
      <c r="J719">
        <v>5037</v>
      </c>
      <c r="K719" t="s">
        <v>67</v>
      </c>
      <c r="L719" t="s">
        <v>26</v>
      </c>
      <c r="M719" t="s">
        <v>27</v>
      </c>
      <c r="N719" s="2">
        <v>45163</v>
      </c>
      <c r="O719" s="2">
        <v>45164.916666666664</v>
      </c>
      <c r="P719" t="s">
        <v>55</v>
      </c>
      <c r="Q719" t="s">
        <v>29</v>
      </c>
      <c r="R719" t="s">
        <v>47</v>
      </c>
      <c r="S719">
        <v>6</v>
      </c>
      <c r="T719">
        <v>12</v>
      </c>
      <c r="U719" t="s">
        <v>48</v>
      </c>
      <c r="V719" t="str">
        <f t="shared" si="11"/>
        <v>Aug-2023</v>
      </c>
      <c r="W719" s="16">
        <f>Table1[[#This Row],[Consultation Date]] - Table1[[#This Row],[Appointment Date]]</f>
        <v>1.9166666666642413</v>
      </c>
    </row>
    <row r="720" spans="1:23" x14ac:dyDescent="0.3">
      <c r="A720" t="s">
        <v>777</v>
      </c>
      <c r="B720">
        <v>73</v>
      </c>
      <c r="C720" t="s">
        <v>33</v>
      </c>
      <c r="D720" s="2">
        <v>45222</v>
      </c>
      <c r="E720" s="2">
        <v>45118</v>
      </c>
      <c r="F720">
        <v>15</v>
      </c>
      <c r="G720" t="s">
        <v>34</v>
      </c>
      <c r="H720">
        <v>1</v>
      </c>
      <c r="I720" t="s">
        <v>71</v>
      </c>
      <c r="J720">
        <v>48032</v>
      </c>
      <c r="K720" t="s">
        <v>53</v>
      </c>
      <c r="L720" t="s">
        <v>54</v>
      </c>
      <c r="M720" t="s">
        <v>41</v>
      </c>
      <c r="N720" s="2">
        <v>45217</v>
      </c>
      <c r="O720" s="2">
        <v>45218.375</v>
      </c>
      <c r="P720" t="s">
        <v>42</v>
      </c>
      <c r="Q720" t="s">
        <v>29</v>
      </c>
      <c r="R720" t="s">
        <v>30</v>
      </c>
      <c r="S720">
        <v>10</v>
      </c>
      <c r="T720">
        <v>10</v>
      </c>
      <c r="U720" t="s">
        <v>68</v>
      </c>
      <c r="V720" t="str">
        <f t="shared" si="11"/>
        <v>Oct-2023</v>
      </c>
      <c r="W720" s="16">
        <f>Table1[[#This Row],[Consultation Date]] - Table1[[#This Row],[Appointment Date]]</f>
        <v>1.375</v>
      </c>
    </row>
    <row r="721" spans="1:23" x14ac:dyDescent="0.3">
      <c r="A721" t="s">
        <v>778</v>
      </c>
      <c r="B721">
        <v>1</v>
      </c>
      <c r="C721" t="s">
        <v>33</v>
      </c>
      <c r="D721" s="2">
        <v>45216</v>
      </c>
      <c r="E721" s="2">
        <v>45218</v>
      </c>
      <c r="F721">
        <v>2</v>
      </c>
      <c r="G721" t="s">
        <v>34</v>
      </c>
      <c r="H721">
        <v>3</v>
      </c>
      <c r="I721" t="s">
        <v>24</v>
      </c>
      <c r="J721">
        <v>17697</v>
      </c>
      <c r="K721" t="s">
        <v>67</v>
      </c>
      <c r="L721" t="s">
        <v>26</v>
      </c>
      <c r="M721" t="s">
        <v>27</v>
      </c>
      <c r="N721" s="2">
        <v>45216</v>
      </c>
      <c r="O721" s="2">
        <v>45217.125</v>
      </c>
      <c r="P721" t="s">
        <v>64</v>
      </c>
      <c r="Q721" t="s">
        <v>38</v>
      </c>
      <c r="R721" t="s">
        <v>43</v>
      </c>
      <c r="S721">
        <v>6</v>
      </c>
      <c r="T721">
        <v>12</v>
      </c>
      <c r="U721" t="s">
        <v>31</v>
      </c>
      <c r="V721" t="str">
        <f t="shared" si="11"/>
        <v>Oct-2023</v>
      </c>
      <c r="W721" s="16">
        <f>Table1[[#This Row],[Consultation Date]] - Table1[[#This Row],[Appointment Date]]</f>
        <v>1.125</v>
      </c>
    </row>
    <row r="722" spans="1:23" x14ac:dyDescent="0.3">
      <c r="A722" t="s">
        <v>779</v>
      </c>
      <c r="B722">
        <v>51</v>
      </c>
      <c r="C722" t="s">
        <v>22</v>
      </c>
      <c r="D722" s="2">
        <v>45539</v>
      </c>
      <c r="E722" s="2">
        <v>45403</v>
      </c>
      <c r="F722">
        <v>12</v>
      </c>
      <c r="G722" t="s">
        <v>23</v>
      </c>
      <c r="H722">
        <v>2</v>
      </c>
      <c r="I722" t="s">
        <v>66</v>
      </c>
      <c r="J722">
        <v>46420</v>
      </c>
      <c r="K722" t="s">
        <v>60</v>
      </c>
      <c r="L722" t="s">
        <v>54</v>
      </c>
      <c r="M722" t="s">
        <v>27</v>
      </c>
      <c r="N722" s="2">
        <v>45447</v>
      </c>
      <c r="O722" s="2">
        <v>45477.166666666664</v>
      </c>
      <c r="P722" t="s">
        <v>28</v>
      </c>
      <c r="Q722" t="s">
        <v>29</v>
      </c>
      <c r="R722" t="s">
        <v>47</v>
      </c>
      <c r="S722">
        <v>6</v>
      </c>
      <c r="T722">
        <v>8</v>
      </c>
      <c r="U722" t="s">
        <v>48</v>
      </c>
      <c r="V722" t="str">
        <f t="shared" si="11"/>
        <v>Sep-2024</v>
      </c>
      <c r="W722" s="16">
        <f>Table1[[#This Row],[Consultation Date]] - Table1[[#This Row],[Appointment Date]]</f>
        <v>30.166666666664241</v>
      </c>
    </row>
    <row r="723" spans="1:23" x14ac:dyDescent="0.3">
      <c r="A723" t="s">
        <v>780</v>
      </c>
      <c r="B723">
        <v>45</v>
      </c>
      <c r="C723" t="s">
        <v>22</v>
      </c>
      <c r="D723" s="2">
        <v>44999</v>
      </c>
      <c r="E723" s="2">
        <v>45013</v>
      </c>
      <c r="F723">
        <v>14</v>
      </c>
      <c r="G723" t="s">
        <v>23</v>
      </c>
      <c r="H723">
        <v>2</v>
      </c>
      <c r="I723" t="s">
        <v>46</v>
      </c>
      <c r="J723">
        <v>36707</v>
      </c>
      <c r="K723" t="s">
        <v>60</v>
      </c>
      <c r="L723" t="s">
        <v>26</v>
      </c>
      <c r="M723" t="s">
        <v>27</v>
      </c>
      <c r="N723" s="2">
        <v>45233</v>
      </c>
      <c r="O723" s="2">
        <v>45263.875</v>
      </c>
      <c r="P723" t="s">
        <v>37</v>
      </c>
      <c r="Q723" t="s">
        <v>29</v>
      </c>
      <c r="R723" t="s">
        <v>43</v>
      </c>
      <c r="S723">
        <v>4</v>
      </c>
      <c r="T723">
        <v>10</v>
      </c>
      <c r="U723" t="s">
        <v>31</v>
      </c>
      <c r="V723" t="str">
        <f t="shared" si="11"/>
        <v>Mar-2023</v>
      </c>
      <c r="W723" s="16">
        <f>Table1[[#This Row],[Consultation Date]] - Table1[[#This Row],[Appointment Date]]</f>
        <v>30.875</v>
      </c>
    </row>
    <row r="724" spans="1:23" x14ac:dyDescent="0.3">
      <c r="A724" t="s">
        <v>781</v>
      </c>
      <c r="B724">
        <v>77</v>
      </c>
      <c r="C724" t="s">
        <v>33</v>
      </c>
      <c r="D724" s="2">
        <v>45166</v>
      </c>
      <c r="E724" s="2">
        <v>45086</v>
      </c>
      <c r="F724">
        <v>9</v>
      </c>
      <c r="G724" t="s">
        <v>34</v>
      </c>
      <c r="H724">
        <v>5</v>
      </c>
      <c r="I724" t="s">
        <v>66</v>
      </c>
      <c r="J724">
        <v>31016</v>
      </c>
      <c r="K724" t="s">
        <v>67</v>
      </c>
      <c r="L724" t="s">
        <v>26</v>
      </c>
      <c r="M724" t="s">
        <v>27</v>
      </c>
      <c r="N724" s="2">
        <v>45165</v>
      </c>
      <c r="O724" s="2">
        <v>45166.083333333336</v>
      </c>
      <c r="P724" t="s">
        <v>28</v>
      </c>
      <c r="Q724" t="s">
        <v>29</v>
      </c>
      <c r="R724" t="s">
        <v>47</v>
      </c>
      <c r="S724">
        <v>9</v>
      </c>
      <c r="T724">
        <v>12</v>
      </c>
      <c r="U724" t="s">
        <v>31</v>
      </c>
      <c r="V724" t="str">
        <f t="shared" si="11"/>
        <v>Aug-2023</v>
      </c>
      <c r="W724" s="16">
        <f>Table1[[#This Row],[Consultation Date]] - Table1[[#This Row],[Appointment Date]]</f>
        <v>1.0833333333357587</v>
      </c>
    </row>
    <row r="725" spans="1:23" x14ac:dyDescent="0.3">
      <c r="A725" t="s">
        <v>782</v>
      </c>
      <c r="B725">
        <v>4</v>
      </c>
      <c r="C725" t="s">
        <v>33</v>
      </c>
      <c r="D725" s="2">
        <v>45197</v>
      </c>
      <c r="E725" s="2">
        <v>45270</v>
      </c>
      <c r="F725">
        <v>14</v>
      </c>
      <c r="G725" t="s">
        <v>23</v>
      </c>
      <c r="H725">
        <v>2</v>
      </c>
      <c r="I725" t="s">
        <v>35</v>
      </c>
      <c r="J725">
        <v>39600</v>
      </c>
      <c r="K725" t="s">
        <v>53</v>
      </c>
      <c r="L725" t="s">
        <v>26</v>
      </c>
      <c r="M725" t="s">
        <v>27</v>
      </c>
      <c r="N725" s="2">
        <v>45193</v>
      </c>
      <c r="O725" s="2">
        <v>45193.25</v>
      </c>
      <c r="P725" t="s">
        <v>64</v>
      </c>
      <c r="Q725" t="s">
        <v>29</v>
      </c>
      <c r="R725" t="s">
        <v>47</v>
      </c>
      <c r="S725">
        <v>9</v>
      </c>
      <c r="T725">
        <v>10</v>
      </c>
      <c r="U725" t="s">
        <v>31</v>
      </c>
      <c r="V725" t="str">
        <f t="shared" si="11"/>
        <v>Sep-2023</v>
      </c>
      <c r="W725" s="16">
        <f>Table1[[#This Row],[Consultation Date]] - Table1[[#This Row],[Appointment Date]]</f>
        <v>0.25</v>
      </c>
    </row>
    <row r="726" spans="1:23" x14ac:dyDescent="0.3">
      <c r="A726" t="s">
        <v>783</v>
      </c>
      <c r="B726">
        <v>62</v>
      </c>
      <c r="C726" t="s">
        <v>45</v>
      </c>
      <c r="D726" s="2">
        <v>45129</v>
      </c>
      <c r="E726" s="2">
        <v>45131</v>
      </c>
      <c r="F726">
        <v>2</v>
      </c>
      <c r="G726" t="s">
        <v>63</v>
      </c>
      <c r="H726">
        <v>5</v>
      </c>
      <c r="I726" t="s">
        <v>71</v>
      </c>
      <c r="J726">
        <v>28984</v>
      </c>
      <c r="K726" t="s">
        <v>25</v>
      </c>
      <c r="L726" t="s">
        <v>26</v>
      </c>
      <c r="M726" t="s">
        <v>27</v>
      </c>
      <c r="N726" s="2">
        <v>45128</v>
      </c>
      <c r="O726" s="2">
        <v>45129.708333333336</v>
      </c>
      <c r="P726" t="s">
        <v>55</v>
      </c>
      <c r="Q726" t="s">
        <v>29</v>
      </c>
      <c r="R726" t="s">
        <v>43</v>
      </c>
      <c r="S726">
        <v>9</v>
      </c>
      <c r="T726">
        <v>8</v>
      </c>
      <c r="U726" t="s">
        <v>31</v>
      </c>
      <c r="V726" t="str">
        <f t="shared" si="11"/>
        <v>Jul-2023</v>
      </c>
      <c r="W726" s="16">
        <f>Table1[[#This Row],[Consultation Date]] - Table1[[#This Row],[Appointment Date]]</f>
        <v>1.7083333333357587</v>
      </c>
    </row>
    <row r="727" spans="1:23" x14ac:dyDescent="0.3">
      <c r="A727" t="s">
        <v>784</v>
      </c>
      <c r="B727">
        <v>65</v>
      </c>
      <c r="C727" t="s">
        <v>62</v>
      </c>
      <c r="D727" s="2">
        <v>45599</v>
      </c>
      <c r="E727" s="2">
        <v>45367</v>
      </c>
      <c r="F727">
        <v>5</v>
      </c>
      <c r="G727" t="s">
        <v>34</v>
      </c>
      <c r="H727">
        <v>1</v>
      </c>
      <c r="I727" t="s">
        <v>66</v>
      </c>
      <c r="J727">
        <v>10167</v>
      </c>
      <c r="K727" t="s">
        <v>60</v>
      </c>
      <c r="L727" t="s">
        <v>26</v>
      </c>
      <c r="M727" t="s">
        <v>27</v>
      </c>
      <c r="N727" s="2">
        <v>45599</v>
      </c>
      <c r="O727" s="2">
        <v>45629.458333333336</v>
      </c>
      <c r="P727" t="s">
        <v>55</v>
      </c>
      <c r="Q727" t="s">
        <v>29</v>
      </c>
      <c r="R727" t="s">
        <v>30</v>
      </c>
      <c r="S727">
        <v>9</v>
      </c>
      <c r="T727">
        <v>10</v>
      </c>
      <c r="U727" t="s">
        <v>31</v>
      </c>
      <c r="V727" t="str">
        <f t="shared" si="11"/>
        <v>Nov-2024</v>
      </c>
      <c r="W727" s="16">
        <f>Table1[[#This Row],[Consultation Date]] - Table1[[#This Row],[Appointment Date]]</f>
        <v>30.458333333335759</v>
      </c>
    </row>
    <row r="728" spans="1:23" x14ac:dyDescent="0.3">
      <c r="A728" t="s">
        <v>785</v>
      </c>
      <c r="B728">
        <v>32</v>
      </c>
      <c r="C728" t="s">
        <v>22</v>
      </c>
      <c r="D728" s="2">
        <v>45044</v>
      </c>
      <c r="E728" s="2">
        <v>45046</v>
      </c>
      <c r="F728">
        <v>2</v>
      </c>
      <c r="G728" t="s">
        <v>63</v>
      </c>
      <c r="H728">
        <v>2</v>
      </c>
      <c r="I728" t="s">
        <v>46</v>
      </c>
      <c r="J728">
        <v>5432</v>
      </c>
      <c r="K728" t="s">
        <v>60</v>
      </c>
      <c r="L728" t="s">
        <v>26</v>
      </c>
      <c r="M728" t="s">
        <v>41</v>
      </c>
      <c r="N728" s="2">
        <v>45043</v>
      </c>
      <c r="O728" s="2">
        <v>45044.458333333336</v>
      </c>
      <c r="P728" t="s">
        <v>64</v>
      </c>
      <c r="Q728" t="s">
        <v>29</v>
      </c>
      <c r="R728" t="s">
        <v>30</v>
      </c>
      <c r="S728">
        <v>6</v>
      </c>
      <c r="T728">
        <v>8</v>
      </c>
      <c r="U728" t="s">
        <v>68</v>
      </c>
      <c r="V728" t="str">
        <f t="shared" si="11"/>
        <v>Apr-2023</v>
      </c>
      <c r="W728" s="16">
        <f>Table1[[#This Row],[Consultation Date]] - Table1[[#This Row],[Appointment Date]]</f>
        <v>1.4583333333357587</v>
      </c>
    </row>
    <row r="729" spans="1:23" x14ac:dyDescent="0.3">
      <c r="A729" t="s">
        <v>786</v>
      </c>
      <c r="B729">
        <v>34</v>
      </c>
      <c r="C729" t="s">
        <v>62</v>
      </c>
      <c r="D729" s="2">
        <v>45157</v>
      </c>
      <c r="E729" s="2">
        <v>44935</v>
      </c>
      <c r="F729">
        <v>13</v>
      </c>
      <c r="G729" t="s">
        <v>63</v>
      </c>
      <c r="H729">
        <v>1</v>
      </c>
      <c r="I729" t="s">
        <v>35</v>
      </c>
      <c r="J729">
        <v>9151</v>
      </c>
      <c r="K729" t="s">
        <v>25</v>
      </c>
      <c r="L729" t="s">
        <v>54</v>
      </c>
      <c r="M729" t="s">
        <v>27</v>
      </c>
      <c r="N729" s="2">
        <v>45153</v>
      </c>
      <c r="O729" s="2">
        <v>45154.666666666664</v>
      </c>
      <c r="P729" t="s">
        <v>64</v>
      </c>
      <c r="Q729" t="s">
        <v>29</v>
      </c>
      <c r="R729" t="s">
        <v>30</v>
      </c>
      <c r="S729">
        <v>4</v>
      </c>
      <c r="T729">
        <v>12</v>
      </c>
      <c r="U729" t="s">
        <v>48</v>
      </c>
      <c r="V729" t="str">
        <f t="shared" si="11"/>
        <v>Aug-2023</v>
      </c>
      <c r="W729" s="16">
        <f>Table1[[#This Row],[Consultation Date]] - Table1[[#This Row],[Appointment Date]]</f>
        <v>1.6666666666642413</v>
      </c>
    </row>
    <row r="730" spans="1:23" x14ac:dyDescent="0.3">
      <c r="A730" t="s">
        <v>787</v>
      </c>
      <c r="B730">
        <v>72</v>
      </c>
      <c r="C730" t="s">
        <v>45</v>
      </c>
      <c r="D730" s="2">
        <v>44963</v>
      </c>
      <c r="E730" s="2">
        <v>45052</v>
      </c>
      <c r="F730">
        <v>3</v>
      </c>
      <c r="G730" t="s">
        <v>34</v>
      </c>
      <c r="H730">
        <v>1</v>
      </c>
      <c r="I730" t="s">
        <v>24</v>
      </c>
      <c r="J730">
        <v>11411</v>
      </c>
      <c r="K730" t="s">
        <v>67</v>
      </c>
      <c r="L730" t="s">
        <v>54</v>
      </c>
      <c r="M730" t="s">
        <v>41</v>
      </c>
      <c r="N730" s="2">
        <v>45077</v>
      </c>
      <c r="O730" s="2">
        <v>45077.416666666664</v>
      </c>
      <c r="P730" t="s">
        <v>37</v>
      </c>
      <c r="Q730" t="s">
        <v>29</v>
      </c>
      <c r="R730" t="s">
        <v>30</v>
      </c>
      <c r="S730">
        <v>9</v>
      </c>
      <c r="T730">
        <v>10</v>
      </c>
      <c r="U730" t="s">
        <v>68</v>
      </c>
      <c r="V730" t="str">
        <f t="shared" si="11"/>
        <v>Feb-2023</v>
      </c>
      <c r="W730" s="16">
        <f>Table1[[#This Row],[Consultation Date]] - Table1[[#This Row],[Appointment Date]]</f>
        <v>0.41666666666424135</v>
      </c>
    </row>
    <row r="731" spans="1:23" x14ac:dyDescent="0.3">
      <c r="A731" t="s">
        <v>788</v>
      </c>
      <c r="B731">
        <v>39</v>
      </c>
      <c r="C731" t="s">
        <v>33</v>
      </c>
      <c r="D731" s="2">
        <v>45199</v>
      </c>
      <c r="E731" s="2">
        <v>45056</v>
      </c>
      <c r="F731">
        <v>5</v>
      </c>
      <c r="G731" t="s">
        <v>40</v>
      </c>
      <c r="H731">
        <v>2</v>
      </c>
      <c r="I731" t="s">
        <v>24</v>
      </c>
      <c r="J731">
        <v>35788</v>
      </c>
      <c r="K731" t="s">
        <v>53</v>
      </c>
      <c r="L731" t="s">
        <v>26</v>
      </c>
      <c r="M731" t="s">
        <v>41</v>
      </c>
      <c r="N731" s="2">
        <v>45198</v>
      </c>
      <c r="O731" s="2">
        <v>45198.75</v>
      </c>
      <c r="P731" t="s">
        <v>42</v>
      </c>
      <c r="Q731" t="s">
        <v>38</v>
      </c>
      <c r="R731" t="s">
        <v>43</v>
      </c>
      <c r="S731">
        <v>11</v>
      </c>
      <c r="T731">
        <v>12</v>
      </c>
      <c r="U731" t="s">
        <v>68</v>
      </c>
      <c r="V731" t="str">
        <f t="shared" si="11"/>
        <v>Sep-2023</v>
      </c>
      <c r="W731" s="16">
        <f>Table1[[#This Row],[Consultation Date]] - Table1[[#This Row],[Appointment Date]]</f>
        <v>0.75</v>
      </c>
    </row>
    <row r="732" spans="1:23" x14ac:dyDescent="0.3">
      <c r="A732" t="s">
        <v>789</v>
      </c>
      <c r="B732">
        <v>26</v>
      </c>
      <c r="C732" t="s">
        <v>41</v>
      </c>
      <c r="D732" s="2">
        <v>45072</v>
      </c>
      <c r="E732" s="2">
        <v>44991</v>
      </c>
      <c r="F732">
        <v>8</v>
      </c>
      <c r="G732" t="s">
        <v>34</v>
      </c>
      <c r="H732">
        <v>1</v>
      </c>
      <c r="I732" t="s">
        <v>46</v>
      </c>
      <c r="J732">
        <v>31623</v>
      </c>
      <c r="K732" t="s">
        <v>67</v>
      </c>
      <c r="L732" t="s">
        <v>26</v>
      </c>
      <c r="M732" t="s">
        <v>27</v>
      </c>
      <c r="N732" s="2">
        <v>45067</v>
      </c>
      <c r="O732" s="2">
        <v>45067.25</v>
      </c>
      <c r="P732" t="s">
        <v>28</v>
      </c>
      <c r="Q732" t="s">
        <v>29</v>
      </c>
      <c r="R732" t="s">
        <v>47</v>
      </c>
      <c r="S732">
        <v>8</v>
      </c>
      <c r="T732">
        <v>8</v>
      </c>
      <c r="U732" t="s">
        <v>68</v>
      </c>
      <c r="V732" t="str">
        <f t="shared" si="11"/>
        <v>May-2023</v>
      </c>
      <c r="W732" s="16">
        <f>Table1[[#This Row],[Consultation Date]] - Table1[[#This Row],[Appointment Date]]</f>
        <v>0.25</v>
      </c>
    </row>
    <row r="733" spans="1:23" x14ac:dyDescent="0.3">
      <c r="A733" t="s">
        <v>790</v>
      </c>
      <c r="B733">
        <v>34</v>
      </c>
      <c r="C733" t="s">
        <v>62</v>
      </c>
      <c r="D733" s="2">
        <v>45000</v>
      </c>
      <c r="E733" s="2">
        <v>45015</v>
      </c>
      <c r="F733">
        <v>15</v>
      </c>
      <c r="G733" t="s">
        <v>34</v>
      </c>
      <c r="H733">
        <v>2</v>
      </c>
      <c r="I733" t="s">
        <v>35</v>
      </c>
      <c r="J733">
        <v>27104</v>
      </c>
      <c r="K733" t="s">
        <v>36</v>
      </c>
      <c r="L733" t="s">
        <v>26</v>
      </c>
      <c r="M733" t="s">
        <v>27</v>
      </c>
      <c r="N733" s="2">
        <v>45233</v>
      </c>
      <c r="O733" s="2">
        <v>45233.833333333336</v>
      </c>
      <c r="P733" t="s">
        <v>28</v>
      </c>
      <c r="Q733" t="s">
        <v>29</v>
      </c>
      <c r="R733" t="s">
        <v>43</v>
      </c>
      <c r="S733">
        <v>7</v>
      </c>
      <c r="T733">
        <v>8</v>
      </c>
      <c r="U733" t="s">
        <v>31</v>
      </c>
      <c r="V733" t="str">
        <f t="shared" si="11"/>
        <v>Mar-2023</v>
      </c>
      <c r="W733" s="16">
        <f>Table1[[#This Row],[Consultation Date]] - Table1[[#This Row],[Appointment Date]]</f>
        <v>0.83333333333575865</v>
      </c>
    </row>
    <row r="734" spans="1:23" x14ac:dyDescent="0.3">
      <c r="A734" t="s">
        <v>791</v>
      </c>
      <c r="B734">
        <v>54</v>
      </c>
      <c r="C734" t="s">
        <v>33</v>
      </c>
      <c r="D734" s="2">
        <v>44988</v>
      </c>
      <c r="E734" s="2">
        <v>45263</v>
      </c>
      <c r="F734">
        <v>9</v>
      </c>
      <c r="G734" t="s">
        <v>23</v>
      </c>
      <c r="H734">
        <v>2</v>
      </c>
      <c r="I734" t="s">
        <v>71</v>
      </c>
      <c r="J734">
        <v>5256</v>
      </c>
      <c r="K734" t="s">
        <v>60</v>
      </c>
      <c r="L734" t="s">
        <v>26</v>
      </c>
      <c r="M734" t="s">
        <v>27</v>
      </c>
      <c r="N734" s="2">
        <v>44929</v>
      </c>
      <c r="O734" s="2">
        <v>44929.25</v>
      </c>
      <c r="P734" t="s">
        <v>55</v>
      </c>
      <c r="Q734" t="s">
        <v>29</v>
      </c>
      <c r="R734" t="s">
        <v>30</v>
      </c>
      <c r="S734">
        <v>8</v>
      </c>
      <c r="T734">
        <v>12</v>
      </c>
      <c r="U734" t="s">
        <v>68</v>
      </c>
      <c r="V734" t="str">
        <f t="shared" si="11"/>
        <v>Mar-2023</v>
      </c>
      <c r="W734" s="16">
        <f>Table1[[#This Row],[Consultation Date]] - Table1[[#This Row],[Appointment Date]]</f>
        <v>0.25</v>
      </c>
    </row>
    <row r="735" spans="1:23" x14ac:dyDescent="0.3">
      <c r="A735" t="s">
        <v>792</v>
      </c>
      <c r="B735">
        <v>3</v>
      </c>
      <c r="C735" t="s">
        <v>33</v>
      </c>
      <c r="D735" s="2">
        <v>45096</v>
      </c>
      <c r="E735" s="2">
        <v>45099</v>
      </c>
      <c r="F735">
        <v>3</v>
      </c>
      <c r="G735" t="s">
        <v>34</v>
      </c>
      <c r="H735">
        <v>2</v>
      </c>
      <c r="I735" t="s">
        <v>66</v>
      </c>
      <c r="J735">
        <v>38439</v>
      </c>
      <c r="K735" t="s">
        <v>36</v>
      </c>
      <c r="L735" t="s">
        <v>26</v>
      </c>
      <c r="M735" t="s">
        <v>41</v>
      </c>
      <c r="N735" s="2">
        <v>45092</v>
      </c>
      <c r="O735" s="2">
        <v>45093.375</v>
      </c>
      <c r="P735" t="s">
        <v>55</v>
      </c>
      <c r="Q735" t="s">
        <v>38</v>
      </c>
      <c r="R735" t="s">
        <v>30</v>
      </c>
      <c r="S735">
        <v>4</v>
      </c>
      <c r="T735">
        <v>12</v>
      </c>
      <c r="U735" t="s">
        <v>48</v>
      </c>
      <c r="V735" t="str">
        <f t="shared" si="11"/>
        <v>Jun-2023</v>
      </c>
      <c r="W735" s="16">
        <f>Table1[[#This Row],[Consultation Date]] - Table1[[#This Row],[Appointment Date]]</f>
        <v>1.375</v>
      </c>
    </row>
    <row r="736" spans="1:23" x14ac:dyDescent="0.3">
      <c r="A736" t="s">
        <v>793</v>
      </c>
      <c r="B736">
        <v>50</v>
      </c>
      <c r="C736" t="s">
        <v>52</v>
      </c>
      <c r="D736" s="2">
        <v>45241</v>
      </c>
      <c r="E736" s="2">
        <v>45255</v>
      </c>
      <c r="F736">
        <v>14</v>
      </c>
      <c r="G736" t="s">
        <v>40</v>
      </c>
      <c r="H736">
        <v>3</v>
      </c>
      <c r="I736" t="s">
        <v>35</v>
      </c>
      <c r="J736">
        <v>38257</v>
      </c>
      <c r="K736" t="s">
        <v>60</v>
      </c>
      <c r="L736" t="s">
        <v>54</v>
      </c>
      <c r="M736" t="s">
        <v>27</v>
      </c>
      <c r="N736" s="2">
        <v>45118</v>
      </c>
      <c r="O736" s="2">
        <v>45118.583333333336</v>
      </c>
      <c r="P736" t="s">
        <v>37</v>
      </c>
      <c r="Q736" t="s">
        <v>29</v>
      </c>
      <c r="R736" t="s">
        <v>43</v>
      </c>
      <c r="S736">
        <v>4</v>
      </c>
      <c r="T736">
        <v>8</v>
      </c>
      <c r="U736" t="s">
        <v>68</v>
      </c>
      <c r="V736" t="str">
        <f t="shared" si="11"/>
        <v>Nov-2023</v>
      </c>
      <c r="W736" s="16">
        <f>Table1[[#This Row],[Consultation Date]] - Table1[[#This Row],[Appointment Date]]</f>
        <v>0.58333333333575865</v>
      </c>
    </row>
    <row r="737" spans="1:23" x14ac:dyDescent="0.3">
      <c r="A737" t="s">
        <v>794</v>
      </c>
      <c r="B737">
        <v>12</v>
      </c>
      <c r="C737" t="s">
        <v>62</v>
      </c>
      <c r="D737" s="2">
        <v>45222</v>
      </c>
      <c r="E737" s="2">
        <v>45229</v>
      </c>
      <c r="F737">
        <v>7</v>
      </c>
      <c r="G737" t="s">
        <v>23</v>
      </c>
      <c r="H737">
        <v>1</v>
      </c>
      <c r="I737" t="s">
        <v>24</v>
      </c>
      <c r="J737">
        <v>44657</v>
      </c>
      <c r="K737" t="s">
        <v>60</v>
      </c>
      <c r="L737" t="s">
        <v>54</v>
      </c>
      <c r="M737" t="s">
        <v>27</v>
      </c>
      <c r="N737" s="2">
        <v>45217</v>
      </c>
      <c r="O737" s="2">
        <v>45217.416666666664</v>
      </c>
      <c r="P737" t="s">
        <v>64</v>
      </c>
      <c r="Q737" t="s">
        <v>29</v>
      </c>
      <c r="R737" t="s">
        <v>47</v>
      </c>
      <c r="S737">
        <v>7</v>
      </c>
      <c r="T737">
        <v>12</v>
      </c>
      <c r="U737" t="s">
        <v>31</v>
      </c>
      <c r="V737" t="str">
        <f t="shared" si="11"/>
        <v>Oct-2023</v>
      </c>
      <c r="W737" s="16">
        <f>Table1[[#This Row],[Consultation Date]] - Table1[[#This Row],[Appointment Date]]</f>
        <v>0.41666666666424135</v>
      </c>
    </row>
    <row r="738" spans="1:23" x14ac:dyDescent="0.3">
      <c r="A738" t="s">
        <v>795</v>
      </c>
      <c r="B738">
        <v>65</v>
      </c>
      <c r="C738" t="s">
        <v>41</v>
      </c>
      <c r="D738" s="2">
        <v>45376</v>
      </c>
      <c r="E738" s="2">
        <v>45378</v>
      </c>
      <c r="F738">
        <v>2</v>
      </c>
      <c r="G738" t="s">
        <v>50</v>
      </c>
      <c r="H738">
        <v>4</v>
      </c>
      <c r="I738" t="s">
        <v>46</v>
      </c>
      <c r="J738">
        <v>49674</v>
      </c>
      <c r="K738" t="s">
        <v>36</v>
      </c>
      <c r="L738" t="s">
        <v>54</v>
      </c>
      <c r="M738" t="s">
        <v>27</v>
      </c>
      <c r="N738" s="2">
        <v>45374</v>
      </c>
      <c r="O738" s="2">
        <v>45375.458333333336</v>
      </c>
      <c r="P738" t="s">
        <v>28</v>
      </c>
      <c r="Q738" t="s">
        <v>29</v>
      </c>
      <c r="R738" t="s">
        <v>43</v>
      </c>
      <c r="S738">
        <v>5</v>
      </c>
      <c r="T738">
        <v>8</v>
      </c>
      <c r="U738" t="s">
        <v>48</v>
      </c>
      <c r="V738" t="str">
        <f t="shared" si="11"/>
        <v>Mar-2024</v>
      </c>
      <c r="W738" s="16">
        <f>Table1[[#This Row],[Consultation Date]] - Table1[[#This Row],[Appointment Date]]</f>
        <v>1.4583333333357587</v>
      </c>
    </row>
    <row r="739" spans="1:23" x14ac:dyDescent="0.3">
      <c r="A739" t="s">
        <v>796</v>
      </c>
      <c r="B739">
        <v>54</v>
      </c>
      <c r="C739" t="s">
        <v>62</v>
      </c>
      <c r="D739" s="2">
        <v>45143</v>
      </c>
      <c r="E739" s="2">
        <v>45069</v>
      </c>
      <c r="F739">
        <v>15</v>
      </c>
      <c r="G739" t="s">
        <v>50</v>
      </c>
      <c r="H739">
        <v>2</v>
      </c>
      <c r="I739" t="s">
        <v>46</v>
      </c>
      <c r="J739">
        <v>23066</v>
      </c>
      <c r="K739" t="s">
        <v>36</v>
      </c>
      <c r="L739" t="s">
        <v>54</v>
      </c>
      <c r="M739" t="s">
        <v>27</v>
      </c>
      <c r="N739" s="2">
        <v>45112</v>
      </c>
      <c r="O739" s="2">
        <v>45112.875</v>
      </c>
      <c r="P739" t="s">
        <v>37</v>
      </c>
      <c r="Q739" t="s">
        <v>29</v>
      </c>
      <c r="R739" t="s">
        <v>43</v>
      </c>
      <c r="S739">
        <v>5</v>
      </c>
      <c r="T739">
        <v>12</v>
      </c>
      <c r="U739" t="s">
        <v>48</v>
      </c>
      <c r="V739" t="str">
        <f t="shared" si="11"/>
        <v>Aug-2023</v>
      </c>
      <c r="W739" s="16">
        <f>Table1[[#This Row],[Consultation Date]] - Table1[[#This Row],[Appointment Date]]</f>
        <v>0.875</v>
      </c>
    </row>
    <row r="740" spans="1:23" x14ac:dyDescent="0.3">
      <c r="A740" t="s">
        <v>797</v>
      </c>
      <c r="B740">
        <v>5</v>
      </c>
      <c r="C740" t="s">
        <v>33</v>
      </c>
      <c r="D740" s="2">
        <v>45406</v>
      </c>
      <c r="E740" s="2">
        <v>45410</v>
      </c>
      <c r="F740">
        <v>4</v>
      </c>
      <c r="G740" t="s">
        <v>63</v>
      </c>
      <c r="H740">
        <v>1</v>
      </c>
      <c r="I740" t="s">
        <v>66</v>
      </c>
      <c r="J740">
        <v>37746</v>
      </c>
      <c r="K740" t="s">
        <v>67</v>
      </c>
      <c r="L740" t="s">
        <v>54</v>
      </c>
      <c r="M740" t="s">
        <v>27</v>
      </c>
      <c r="N740" s="2">
        <v>45404</v>
      </c>
      <c r="O740" s="2">
        <v>45405.083333333336</v>
      </c>
      <c r="P740" t="s">
        <v>55</v>
      </c>
      <c r="Q740" t="s">
        <v>38</v>
      </c>
      <c r="R740" t="s">
        <v>43</v>
      </c>
      <c r="S740">
        <v>11</v>
      </c>
      <c r="T740">
        <v>8</v>
      </c>
      <c r="U740" t="s">
        <v>48</v>
      </c>
      <c r="V740" t="str">
        <f t="shared" si="11"/>
        <v>Apr-2024</v>
      </c>
      <c r="W740" s="16">
        <f>Table1[[#This Row],[Consultation Date]] - Table1[[#This Row],[Appointment Date]]</f>
        <v>1.0833333333357587</v>
      </c>
    </row>
    <row r="741" spans="1:23" x14ac:dyDescent="0.3">
      <c r="A741" t="s">
        <v>798</v>
      </c>
      <c r="B741">
        <v>57</v>
      </c>
      <c r="C741" t="s">
        <v>41</v>
      </c>
      <c r="D741" s="2">
        <v>45149</v>
      </c>
      <c r="E741" s="2">
        <v>45252</v>
      </c>
      <c r="F741">
        <v>14</v>
      </c>
      <c r="G741" t="s">
        <v>63</v>
      </c>
      <c r="H741">
        <v>5</v>
      </c>
      <c r="I741" t="s">
        <v>46</v>
      </c>
      <c r="J741">
        <v>7460</v>
      </c>
      <c r="K741" t="s">
        <v>36</v>
      </c>
      <c r="L741" t="s">
        <v>26</v>
      </c>
      <c r="M741" t="s">
        <v>27</v>
      </c>
      <c r="N741" s="2">
        <v>45118</v>
      </c>
      <c r="O741" s="2">
        <v>45149.583333333336</v>
      </c>
      <c r="P741" t="s">
        <v>55</v>
      </c>
      <c r="Q741" t="s">
        <v>29</v>
      </c>
      <c r="R741" t="s">
        <v>47</v>
      </c>
      <c r="S741">
        <v>5</v>
      </c>
      <c r="T741">
        <v>8</v>
      </c>
      <c r="U741" t="s">
        <v>48</v>
      </c>
      <c r="V741" t="str">
        <f t="shared" si="11"/>
        <v>Aug-2023</v>
      </c>
      <c r="W741" s="16">
        <f>Table1[[#This Row],[Consultation Date]] - Table1[[#This Row],[Appointment Date]]</f>
        <v>31.583333333335759</v>
      </c>
    </row>
    <row r="742" spans="1:23" x14ac:dyDescent="0.3">
      <c r="A742" t="s">
        <v>799</v>
      </c>
      <c r="B742">
        <v>17</v>
      </c>
      <c r="C742" t="s">
        <v>45</v>
      </c>
      <c r="D742" s="2">
        <v>45339</v>
      </c>
      <c r="E742" s="2">
        <v>45347</v>
      </c>
      <c r="F742">
        <v>8</v>
      </c>
      <c r="G742" t="s">
        <v>40</v>
      </c>
      <c r="H742">
        <v>2</v>
      </c>
      <c r="I742" t="s">
        <v>46</v>
      </c>
      <c r="J742">
        <v>42297</v>
      </c>
      <c r="K742" t="s">
        <v>67</v>
      </c>
      <c r="L742" t="s">
        <v>26</v>
      </c>
      <c r="M742" t="s">
        <v>27</v>
      </c>
      <c r="N742" s="2">
        <v>45628</v>
      </c>
      <c r="O742" s="2">
        <v>45335.708333333336</v>
      </c>
      <c r="P742" t="s">
        <v>28</v>
      </c>
      <c r="Q742" t="s">
        <v>29</v>
      </c>
      <c r="R742" t="s">
        <v>43</v>
      </c>
      <c r="S742">
        <v>6</v>
      </c>
      <c r="T742">
        <v>10</v>
      </c>
      <c r="U742" t="s">
        <v>68</v>
      </c>
      <c r="V742" t="str">
        <f t="shared" si="11"/>
        <v>Feb-2024</v>
      </c>
      <c r="W742" s="16">
        <f>Table1[[#This Row],[Consultation Date]] - Table1[[#This Row],[Appointment Date]]</f>
        <v>-292.29166666666424</v>
      </c>
    </row>
    <row r="743" spans="1:23" x14ac:dyDescent="0.3">
      <c r="A743" t="s">
        <v>800</v>
      </c>
      <c r="B743">
        <v>47</v>
      </c>
      <c r="C743" t="s">
        <v>52</v>
      </c>
      <c r="D743" s="2">
        <v>45087</v>
      </c>
      <c r="E743" s="2">
        <v>45220</v>
      </c>
      <c r="F743">
        <v>15</v>
      </c>
      <c r="G743" t="s">
        <v>57</v>
      </c>
      <c r="H743">
        <v>2</v>
      </c>
      <c r="I743" t="s">
        <v>35</v>
      </c>
      <c r="J743">
        <v>39743</v>
      </c>
      <c r="K743" t="s">
        <v>67</v>
      </c>
      <c r="L743" t="s">
        <v>54</v>
      </c>
      <c r="M743" t="s">
        <v>41</v>
      </c>
      <c r="N743" s="2">
        <v>44967</v>
      </c>
      <c r="O743" s="2">
        <v>44995.75</v>
      </c>
      <c r="P743" t="s">
        <v>55</v>
      </c>
      <c r="Q743" t="s">
        <v>29</v>
      </c>
      <c r="R743" t="s">
        <v>43</v>
      </c>
      <c r="S743">
        <v>5</v>
      </c>
      <c r="T743">
        <v>8</v>
      </c>
      <c r="U743" t="s">
        <v>31</v>
      </c>
      <c r="V743" t="str">
        <f t="shared" si="11"/>
        <v>Jun-2023</v>
      </c>
      <c r="W743" s="16">
        <f>Table1[[#This Row],[Consultation Date]] - Table1[[#This Row],[Appointment Date]]</f>
        <v>28.75</v>
      </c>
    </row>
    <row r="744" spans="1:23" x14ac:dyDescent="0.3">
      <c r="A744" t="s">
        <v>801</v>
      </c>
      <c r="B744">
        <v>23</v>
      </c>
      <c r="C744" t="s">
        <v>33</v>
      </c>
      <c r="D744" s="2">
        <v>45439</v>
      </c>
      <c r="E744" s="2">
        <v>45328</v>
      </c>
      <c r="F744">
        <v>6</v>
      </c>
      <c r="G744" t="s">
        <v>50</v>
      </c>
      <c r="H744">
        <v>4</v>
      </c>
      <c r="I744" t="s">
        <v>71</v>
      </c>
      <c r="J744">
        <v>8216</v>
      </c>
      <c r="K744" t="s">
        <v>67</v>
      </c>
      <c r="L744" t="s">
        <v>54</v>
      </c>
      <c r="M744" t="s">
        <v>27</v>
      </c>
      <c r="N744" s="2">
        <v>45438</v>
      </c>
      <c r="O744" s="2">
        <v>45439.833333333336</v>
      </c>
      <c r="P744" t="s">
        <v>55</v>
      </c>
      <c r="Q744" t="s">
        <v>29</v>
      </c>
      <c r="R744" t="s">
        <v>30</v>
      </c>
      <c r="S744">
        <v>10</v>
      </c>
      <c r="T744">
        <v>8</v>
      </c>
      <c r="U744" t="s">
        <v>48</v>
      </c>
      <c r="V744" t="str">
        <f t="shared" si="11"/>
        <v>May-2024</v>
      </c>
      <c r="W744" s="16">
        <f>Table1[[#This Row],[Consultation Date]] - Table1[[#This Row],[Appointment Date]]</f>
        <v>1.8333333333357587</v>
      </c>
    </row>
    <row r="745" spans="1:23" x14ac:dyDescent="0.3">
      <c r="A745" t="s">
        <v>802</v>
      </c>
      <c r="B745">
        <v>79</v>
      </c>
      <c r="C745" t="s">
        <v>22</v>
      </c>
      <c r="D745" s="2">
        <v>45432</v>
      </c>
      <c r="E745" s="2">
        <v>45388</v>
      </c>
      <c r="F745">
        <v>15</v>
      </c>
      <c r="G745" t="s">
        <v>63</v>
      </c>
      <c r="H745">
        <v>3</v>
      </c>
      <c r="I745" t="s">
        <v>66</v>
      </c>
      <c r="J745">
        <v>19267</v>
      </c>
      <c r="K745" t="s">
        <v>60</v>
      </c>
      <c r="L745" t="s">
        <v>54</v>
      </c>
      <c r="M745" t="s">
        <v>27</v>
      </c>
      <c r="N745" s="2">
        <v>45429</v>
      </c>
      <c r="O745" s="2">
        <v>45430.75</v>
      </c>
      <c r="P745" t="s">
        <v>42</v>
      </c>
      <c r="Q745" t="s">
        <v>29</v>
      </c>
      <c r="R745" t="s">
        <v>43</v>
      </c>
      <c r="S745">
        <v>6</v>
      </c>
      <c r="T745">
        <v>10</v>
      </c>
      <c r="U745" t="s">
        <v>48</v>
      </c>
      <c r="V745" t="str">
        <f t="shared" si="11"/>
        <v>May-2024</v>
      </c>
      <c r="W745" s="16">
        <f>Table1[[#This Row],[Consultation Date]] - Table1[[#This Row],[Appointment Date]]</f>
        <v>1.75</v>
      </c>
    </row>
    <row r="746" spans="1:23" x14ac:dyDescent="0.3">
      <c r="A746" t="s">
        <v>803</v>
      </c>
      <c r="B746">
        <v>85</v>
      </c>
      <c r="C746" t="s">
        <v>22</v>
      </c>
      <c r="D746" s="2">
        <v>45375</v>
      </c>
      <c r="E746" s="2">
        <v>45376</v>
      </c>
      <c r="F746">
        <v>1</v>
      </c>
      <c r="G746" t="s">
        <v>50</v>
      </c>
      <c r="H746">
        <v>3</v>
      </c>
      <c r="I746" t="s">
        <v>35</v>
      </c>
      <c r="J746">
        <v>14581</v>
      </c>
      <c r="K746" t="s">
        <v>60</v>
      </c>
      <c r="L746" t="s">
        <v>54</v>
      </c>
      <c r="M746" t="s">
        <v>27</v>
      </c>
      <c r="N746" s="2">
        <v>45373</v>
      </c>
      <c r="O746" s="2">
        <v>45373.208333333336</v>
      </c>
      <c r="P746" t="s">
        <v>64</v>
      </c>
      <c r="Q746" t="s">
        <v>29</v>
      </c>
      <c r="R746" t="s">
        <v>30</v>
      </c>
      <c r="S746">
        <v>6</v>
      </c>
      <c r="T746">
        <v>10</v>
      </c>
      <c r="U746" t="s">
        <v>31</v>
      </c>
      <c r="V746" t="str">
        <f t="shared" si="11"/>
        <v>Mar-2024</v>
      </c>
      <c r="W746" s="16">
        <f>Table1[[#This Row],[Consultation Date]] - Table1[[#This Row],[Appointment Date]]</f>
        <v>0.20833333333575865</v>
      </c>
    </row>
    <row r="747" spans="1:23" x14ac:dyDescent="0.3">
      <c r="A747" t="s">
        <v>804</v>
      </c>
      <c r="B747">
        <v>14</v>
      </c>
      <c r="C747" t="s">
        <v>52</v>
      </c>
      <c r="D747" s="2">
        <v>45009</v>
      </c>
      <c r="E747" s="2">
        <v>45016</v>
      </c>
      <c r="F747">
        <v>7</v>
      </c>
      <c r="G747" t="s">
        <v>40</v>
      </c>
      <c r="H747">
        <v>2</v>
      </c>
      <c r="I747" t="s">
        <v>71</v>
      </c>
      <c r="J747">
        <v>9515</v>
      </c>
      <c r="K747" t="s">
        <v>36</v>
      </c>
      <c r="L747" t="s">
        <v>54</v>
      </c>
      <c r="M747" t="s">
        <v>41</v>
      </c>
      <c r="N747" s="2">
        <v>45007</v>
      </c>
      <c r="O747" s="2">
        <v>45007.833333333336</v>
      </c>
      <c r="P747" t="s">
        <v>55</v>
      </c>
      <c r="Q747" t="s">
        <v>29</v>
      </c>
      <c r="R747" t="s">
        <v>30</v>
      </c>
      <c r="S747">
        <v>11</v>
      </c>
      <c r="T747">
        <v>12</v>
      </c>
      <c r="U747" t="s">
        <v>68</v>
      </c>
      <c r="V747" t="str">
        <f t="shared" si="11"/>
        <v>Mar-2023</v>
      </c>
      <c r="W747" s="16">
        <f>Table1[[#This Row],[Consultation Date]] - Table1[[#This Row],[Appointment Date]]</f>
        <v>0.83333333333575865</v>
      </c>
    </row>
    <row r="748" spans="1:23" x14ac:dyDescent="0.3">
      <c r="A748" t="s">
        <v>805</v>
      </c>
      <c r="B748">
        <v>66</v>
      </c>
      <c r="C748" t="s">
        <v>45</v>
      </c>
      <c r="D748" s="2">
        <v>45201</v>
      </c>
      <c r="E748" s="2">
        <v>45232</v>
      </c>
      <c r="F748">
        <v>1</v>
      </c>
      <c r="G748" t="s">
        <v>40</v>
      </c>
      <c r="H748">
        <v>1</v>
      </c>
      <c r="I748" t="s">
        <v>35</v>
      </c>
      <c r="J748">
        <v>27076</v>
      </c>
      <c r="K748" t="s">
        <v>60</v>
      </c>
      <c r="L748" t="s">
        <v>54</v>
      </c>
      <c r="M748" t="s">
        <v>27</v>
      </c>
      <c r="N748" s="2">
        <v>45201</v>
      </c>
      <c r="O748" s="2">
        <v>45232.875</v>
      </c>
      <c r="P748" t="s">
        <v>42</v>
      </c>
      <c r="Q748" t="s">
        <v>29</v>
      </c>
      <c r="R748" t="s">
        <v>30</v>
      </c>
      <c r="S748">
        <v>5</v>
      </c>
      <c r="T748">
        <v>12</v>
      </c>
      <c r="U748" t="s">
        <v>48</v>
      </c>
      <c r="V748" t="str">
        <f t="shared" si="11"/>
        <v>Oct-2023</v>
      </c>
      <c r="W748" s="16">
        <f>Table1[[#This Row],[Consultation Date]] - Table1[[#This Row],[Appointment Date]]</f>
        <v>31.875</v>
      </c>
    </row>
    <row r="749" spans="1:23" x14ac:dyDescent="0.3">
      <c r="A749" t="s">
        <v>806</v>
      </c>
      <c r="B749">
        <v>75</v>
      </c>
      <c r="C749" t="s">
        <v>33</v>
      </c>
      <c r="D749" s="2">
        <v>45369</v>
      </c>
      <c r="E749" s="2">
        <v>45376</v>
      </c>
      <c r="F749">
        <v>7</v>
      </c>
      <c r="G749" t="s">
        <v>57</v>
      </c>
      <c r="H749">
        <v>5</v>
      </c>
      <c r="I749" t="s">
        <v>35</v>
      </c>
      <c r="J749">
        <v>49816</v>
      </c>
      <c r="K749" t="s">
        <v>36</v>
      </c>
      <c r="L749" t="s">
        <v>54</v>
      </c>
      <c r="M749" t="s">
        <v>27</v>
      </c>
      <c r="N749" s="2">
        <v>45365</v>
      </c>
      <c r="O749" s="2">
        <v>45366.166666666664</v>
      </c>
      <c r="P749" t="s">
        <v>37</v>
      </c>
      <c r="Q749" t="s">
        <v>38</v>
      </c>
      <c r="R749" t="s">
        <v>47</v>
      </c>
      <c r="S749">
        <v>5</v>
      </c>
      <c r="T749">
        <v>8</v>
      </c>
      <c r="U749" t="s">
        <v>68</v>
      </c>
      <c r="V749" t="str">
        <f t="shared" si="11"/>
        <v>Mar-2024</v>
      </c>
      <c r="W749" s="16">
        <f>Table1[[#This Row],[Consultation Date]] - Table1[[#This Row],[Appointment Date]]</f>
        <v>1.1666666666642413</v>
      </c>
    </row>
    <row r="750" spans="1:23" x14ac:dyDescent="0.3">
      <c r="A750" t="s">
        <v>807</v>
      </c>
      <c r="B750">
        <v>51</v>
      </c>
      <c r="C750" t="s">
        <v>62</v>
      </c>
      <c r="D750" s="2">
        <v>45257</v>
      </c>
      <c r="E750" s="2">
        <v>45089</v>
      </c>
      <c r="F750">
        <v>9</v>
      </c>
      <c r="G750" t="s">
        <v>57</v>
      </c>
      <c r="H750">
        <v>5</v>
      </c>
      <c r="I750" t="s">
        <v>46</v>
      </c>
      <c r="J750">
        <v>14776</v>
      </c>
      <c r="K750" t="s">
        <v>60</v>
      </c>
      <c r="L750" t="s">
        <v>54</v>
      </c>
      <c r="M750" t="s">
        <v>27</v>
      </c>
      <c r="N750" s="2">
        <v>45253</v>
      </c>
      <c r="O750" s="2">
        <v>45254.958333333336</v>
      </c>
      <c r="P750" t="s">
        <v>55</v>
      </c>
      <c r="Q750" t="s">
        <v>29</v>
      </c>
      <c r="R750" t="s">
        <v>30</v>
      </c>
      <c r="S750">
        <v>11</v>
      </c>
      <c r="T750">
        <v>12</v>
      </c>
      <c r="U750" t="s">
        <v>68</v>
      </c>
      <c r="V750" t="str">
        <f t="shared" si="11"/>
        <v>Nov-2023</v>
      </c>
      <c r="W750" s="16">
        <f>Table1[[#This Row],[Consultation Date]] - Table1[[#This Row],[Appointment Date]]</f>
        <v>1.9583333333357587</v>
      </c>
    </row>
    <row r="751" spans="1:23" x14ac:dyDescent="0.3">
      <c r="A751" t="s">
        <v>808</v>
      </c>
      <c r="B751">
        <v>38</v>
      </c>
      <c r="C751" t="s">
        <v>52</v>
      </c>
      <c r="D751" s="2">
        <v>45183</v>
      </c>
      <c r="E751" s="2">
        <v>45189</v>
      </c>
      <c r="F751">
        <v>6</v>
      </c>
      <c r="G751" t="s">
        <v>23</v>
      </c>
      <c r="H751">
        <v>1</v>
      </c>
      <c r="I751" t="s">
        <v>71</v>
      </c>
      <c r="J751">
        <v>26947</v>
      </c>
      <c r="K751" t="s">
        <v>53</v>
      </c>
      <c r="L751" t="s">
        <v>26</v>
      </c>
      <c r="M751" t="s">
        <v>41</v>
      </c>
      <c r="N751" s="2">
        <v>45178</v>
      </c>
      <c r="O751" s="2">
        <v>45178.666666666664</v>
      </c>
      <c r="P751" t="s">
        <v>37</v>
      </c>
      <c r="Q751" t="s">
        <v>29</v>
      </c>
      <c r="R751" t="s">
        <v>43</v>
      </c>
      <c r="S751">
        <v>7</v>
      </c>
      <c r="T751">
        <v>12</v>
      </c>
      <c r="U751" t="s">
        <v>68</v>
      </c>
      <c r="V751" t="str">
        <f t="shared" si="11"/>
        <v>Sep-2023</v>
      </c>
      <c r="W751" s="16">
        <f>Table1[[#This Row],[Consultation Date]] - Table1[[#This Row],[Appointment Date]]</f>
        <v>0.66666666666424135</v>
      </c>
    </row>
    <row r="752" spans="1:23" x14ac:dyDescent="0.3">
      <c r="A752" t="s">
        <v>809</v>
      </c>
      <c r="B752">
        <v>64</v>
      </c>
      <c r="C752" t="s">
        <v>45</v>
      </c>
      <c r="D752" s="2">
        <v>44953</v>
      </c>
      <c r="E752" s="2">
        <v>44957</v>
      </c>
      <c r="F752">
        <v>4</v>
      </c>
      <c r="G752" t="s">
        <v>40</v>
      </c>
      <c r="H752">
        <v>2</v>
      </c>
      <c r="I752" t="s">
        <v>66</v>
      </c>
      <c r="J752">
        <v>7963</v>
      </c>
      <c r="K752" t="s">
        <v>53</v>
      </c>
      <c r="L752" t="s">
        <v>54</v>
      </c>
      <c r="M752" t="s">
        <v>27</v>
      </c>
      <c r="N752" s="2">
        <v>44952</v>
      </c>
      <c r="O752" s="2">
        <v>44952.166666666664</v>
      </c>
      <c r="P752" t="s">
        <v>55</v>
      </c>
      <c r="Q752" t="s">
        <v>29</v>
      </c>
      <c r="R752" t="s">
        <v>43</v>
      </c>
      <c r="S752">
        <v>9</v>
      </c>
      <c r="T752">
        <v>8</v>
      </c>
      <c r="U752" t="s">
        <v>68</v>
      </c>
      <c r="V752" t="str">
        <f t="shared" si="11"/>
        <v>Jan-2023</v>
      </c>
      <c r="W752" s="16">
        <f>Table1[[#This Row],[Consultation Date]] - Table1[[#This Row],[Appointment Date]]</f>
        <v>0.16666666666424135</v>
      </c>
    </row>
    <row r="753" spans="1:23" x14ac:dyDescent="0.3">
      <c r="A753" t="s">
        <v>810</v>
      </c>
      <c r="B753">
        <v>38</v>
      </c>
      <c r="C753" t="s">
        <v>62</v>
      </c>
      <c r="D753" s="2">
        <v>45020</v>
      </c>
      <c r="E753" s="2">
        <v>45234</v>
      </c>
      <c r="F753">
        <v>7</v>
      </c>
      <c r="G753" t="s">
        <v>63</v>
      </c>
      <c r="H753">
        <v>5</v>
      </c>
      <c r="I753" t="s">
        <v>66</v>
      </c>
      <c r="J753">
        <v>11786</v>
      </c>
      <c r="K753" t="s">
        <v>36</v>
      </c>
      <c r="L753" t="s">
        <v>54</v>
      </c>
      <c r="M753" t="s">
        <v>27</v>
      </c>
      <c r="N753" s="2">
        <v>45015</v>
      </c>
      <c r="O753" s="2">
        <v>45015.666666666664</v>
      </c>
      <c r="P753" t="s">
        <v>28</v>
      </c>
      <c r="Q753" t="s">
        <v>29</v>
      </c>
      <c r="R753" t="s">
        <v>30</v>
      </c>
      <c r="S753">
        <v>11</v>
      </c>
      <c r="T753">
        <v>10</v>
      </c>
      <c r="U753" t="s">
        <v>48</v>
      </c>
      <c r="V753" t="str">
        <f t="shared" si="11"/>
        <v>Apr-2023</v>
      </c>
      <c r="W753" s="16">
        <f>Table1[[#This Row],[Consultation Date]] - Table1[[#This Row],[Appointment Date]]</f>
        <v>0.66666666666424135</v>
      </c>
    </row>
    <row r="754" spans="1:23" x14ac:dyDescent="0.3">
      <c r="A754" t="s">
        <v>811</v>
      </c>
      <c r="B754">
        <v>50</v>
      </c>
      <c r="C754" t="s">
        <v>22</v>
      </c>
      <c r="D754" s="2">
        <v>45161</v>
      </c>
      <c r="E754" s="2">
        <v>45163</v>
      </c>
      <c r="F754">
        <v>2</v>
      </c>
      <c r="G754" t="s">
        <v>50</v>
      </c>
      <c r="H754">
        <v>3</v>
      </c>
      <c r="I754" t="s">
        <v>71</v>
      </c>
      <c r="J754">
        <v>18866</v>
      </c>
      <c r="K754" t="s">
        <v>60</v>
      </c>
      <c r="L754" t="s">
        <v>54</v>
      </c>
      <c r="M754" t="s">
        <v>27</v>
      </c>
      <c r="N754" s="2">
        <v>45156</v>
      </c>
      <c r="O754" s="2">
        <v>45156.25</v>
      </c>
      <c r="P754" t="s">
        <v>42</v>
      </c>
      <c r="Q754" t="s">
        <v>29</v>
      </c>
      <c r="R754" t="s">
        <v>30</v>
      </c>
      <c r="S754">
        <v>7</v>
      </c>
      <c r="T754">
        <v>10</v>
      </c>
      <c r="U754" t="s">
        <v>48</v>
      </c>
      <c r="V754" t="str">
        <f t="shared" si="11"/>
        <v>Aug-2023</v>
      </c>
      <c r="W754" s="16">
        <f>Table1[[#This Row],[Consultation Date]] - Table1[[#This Row],[Appointment Date]]</f>
        <v>0.25</v>
      </c>
    </row>
    <row r="755" spans="1:23" x14ac:dyDescent="0.3">
      <c r="A755" t="s">
        <v>812</v>
      </c>
      <c r="B755">
        <v>82</v>
      </c>
      <c r="C755" t="s">
        <v>22</v>
      </c>
      <c r="D755" s="2">
        <v>44948</v>
      </c>
      <c r="E755" s="2">
        <v>44954</v>
      </c>
      <c r="F755">
        <v>6</v>
      </c>
      <c r="G755" t="s">
        <v>34</v>
      </c>
      <c r="H755">
        <v>1</v>
      </c>
      <c r="I755" t="s">
        <v>46</v>
      </c>
      <c r="J755">
        <v>43968</v>
      </c>
      <c r="K755" t="s">
        <v>60</v>
      </c>
      <c r="L755" t="s">
        <v>54</v>
      </c>
      <c r="M755" t="s">
        <v>41</v>
      </c>
      <c r="N755" s="2">
        <v>44945</v>
      </c>
      <c r="O755" s="2">
        <v>44946.166666666664</v>
      </c>
      <c r="P755" t="s">
        <v>42</v>
      </c>
      <c r="Q755" t="s">
        <v>29</v>
      </c>
      <c r="R755" t="s">
        <v>43</v>
      </c>
      <c r="S755">
        <v>6</v>
      </c>
      <c r="T755">
        <v>8</v>
      </c>
      <c r="U755" t="s">
        <v>68</v>
      </c>
      <c r="V755" t="str">
        <f t="shared" si="11"/>
        <v>Jan-2023</v>
      </c>
      <c r="W755" s="16">
        <f>Table1[[#This Row],[Consultation Date]] - Table1[[#This Row],[Appointment Date]]</f>
        <v>1.1666666666642413</v>
      </c>
    </row>
    <row r="756" spans="1:23" x14ac:dyDescent="0.3">
      <c r="A756" t="s">
        <v>813</v>
      </c>
      <c r="B756">
        <v>30</v>
      </c>
      <c r="C756" t="s">
        <v>62</v>
      </c>
      <c r="D756" s="2">
        <v>44995</v>
      </c>
      <c r="E756" s="2">
        <v>45117</v>
      </c>
      <c r="F756">
        <v>4</v>
      </c>
      <c r="G756" t="s">
        <v>57</v>
      </c>
      <c r="H756">
        <v>4</v>
      </c>
      <c r="I756" t="s">
        <v>24</v>
      </c>
      <c r="J756">
        <v>37305</v>
      </c>
      <c r="K756" t="s">
        <v>67</v>
      </c>
      <c r="L756" t="s">
        <v>26</v>
      </c>
      <c r="M756" t="s">
        <v>27</v>
      </c>
      <c r="N756" s="2">
        <v>45198</v>
      </c>
      <c r="O756" s="2">
        <v>45198.333333333336</v>
      </c>
      <c r="P756" t="s">
        <v>28</v>
      </c>
      <c r="Q756" t="s">
        <v>29</v>
      </c>
      <c r="R756" t="s">
        <v>30</v>
      </c>
      <c r="S756">
        <v>7</v>
      </c>
      <c r="T756">
        <v>8</v>
      </c>
      <c r="U756" t="s">
        <v>68</v>
      </c>
      <c r="V756" t="str">
        <f t="shared" si="11"/>
        <v>Mar-2023</v>
      </c>
      <c r="W756" s="16">
        <f>Table1[[#This Row],[Consultation Date]] - Table1[[#This Row],[Appointment Date]]</f>
        <v>0.33333333333575865</v>
      </c>
    </row>
    <row r="757" spans="1:23" x14ac:dyDescent="0.3">
      <c r="A757" t="s">
        <v>814</v>
      </c>
      <c r="B757">
        <v>79</v>
      </c>
      <c r="C757" t="s">
        <v>52</v>
      </c>
      <c r="D757" s="2">
        <v>45232</v>
      </c>
      <c r="E757" s="2">
        <v>45262</v>
      </c>
      <c r="F757">
        <v>1</v>
      </c>
      <c r="G757" t="s">
        <v>34</v>
      </c>
      <c r="H757">
        <v>2</v>
      </c>
      <c r="I757" t="s">
        <v>35</v>
      </c>
      <c r="J757">
        <v>22360</v>
      </c>
      <c r="K757" t="s">
        <v>25</v>
      </c>
      <c r="L757" t="s">
        <v>26</v>
      </c>
      <c r="M757" t="s">
        <v>27</v>
      </c>
      <c r="N757" s="2">
        <v>45140</v>
      </c>
      <c r="O757" s="2">
        <v>45171.25</v>
      </c>
      <c r="P757" t="s">
        <v>64</v>
      </c>
      <c r="Q757" t="s">
        <v>29</v>
      </c>
      <c r="R757" t="s">
        <v>47</v>
      </c>
      <c r="S757">
        <v>6</v>
      </c>
      <c r="T757">
        <v>8</v>
      </c>
      <c r="U757" t="s">
        <v>31</v>
      </c>
      <c r="V757" t="str">
        <f t="shared" si="11"/>
        <v>Nov-2023</v>
      </c>
      <c r="W757" s="16">
        <f>Table1[[#This Row],[Consultation Date]] - Table1[[#This Row],[Appointment Date]]</f>
        <v>31.25</v>
      </c>
    </row>
    <row r="758" spans="1:23" x14ac:dyDescent="0.3">
      <c r="A758" t="s">
        <v>815</v>
      </c>
      <c r="B758">
        <v>51</v>
      </c>
      <c r="C758" t="s">
        <v>22</v>
      </c>
      <c r="D758" s="2">
        <v>45106</v>
      </c>
      <c r="E758" s="2">
        <v>45053</v>
      </c>
      <c r="F758">
        <v>6</v>
      </c>
      <c r="G758" t="s">
        <v>63</v>
      </c>
      <c r="H758">
        <v>1</v>
      </c>
      <c r="I758" t="s">
        <v>46</v>
      </c>
      <c r="J758">
        <v>45113</v>
      </c>
      <c r="K758" t="s">
        <v>36</v>
      </c>
      <c r="L758" t="s">
        <v>54</v>
      </c>
      <c r="M758" t="s">
        <v>41</v>
      </c>
      <c r="N758" s="2">
        <v>45106</v>
      </c>
      <c r="O758" s="2">
        <v>45107.666666666664</v>
      </c>
      <c r="P758" t="s">
        <v>42</v>
      </c>
      <c r="Q758" t="s">
        <v>38</v>
      </c>
      <c r="R758" t="s">
        <v>30</v>
      </c>
      <c r="S758">
        <v>4</v>
      </c>
      <c r="T758">
        <v>8</v>
      </c>
      <c r="U758" t="s">
        <v>31</v>
      </c>
      <c r="V758" t="str">
        <f t="shared" si="11"/>
        <v>Jun-2023</v>
      </c>
      <c r="W758" s="16">
        <f>Table1[[#This Row],[Consultation Date]] - Table1[[#This Row],[Appointment Date]]</f>
        <v>1.6666666666642413</v>
      </c>
    </row>
    <row r="759" spans="1:23" x14ac:dyDescent="0.3">
      <c r="A759" t="s">
        <v>816</v>
      </c>
      <c r="B759">
        <v>63</v>
      </c>
      <c r="C759" t="s">
        <v>33</v>
      </c>
      <c r="D759" s="2">
        <v>45408</v>
      </c>
      <c r="E759" s="2">
        <v>45601</v>
      </c>
      <c r="F759">
        <v>15</v>
      </c>
      <c r="G759" t="s">
        <v>57</v>
      </c>
      <c r="H759">
        <v>5</v>
      </c>
      <c r="I759" t="s">
        <v>71</v>
      </c>
      <c r="J759">
        <v>37813</v>
      </c>
      <c r="K759" t="s">
        <v>25</v>
      </c>
      <c r="L759" t="s">
        <v>26</v>
      </c>
      <c r="M759" t="s">
        <v>41</v>
      </c>
      <c r="N759" s="2">
        <v>45406</v>
      </c>
      <c r="O759" s="2">
        <v>45407.625</v>
      </c>
      <c r="P759" t="s">
        <v>37</v>
      </c>
      <c r="Q759" t="s">
        <v>29</v>
      </c>
      <c r="R759" t="s">
        <v>47</v>
      </c>
      <c r="S759">
        <v>6</v>
      </c>
      <c r="T759">
        <v>8</v>
      </c>
      <c r="U759" t="s">
        <v>31</v>
      </c>
      <c r="V759" t="str">
        <f t="shared" si="11"/>
        <v>Apr-2024</v>
      </c>
      <c r="W759" s="16">
        <f>Table1[[#This Row],[Consultation Date]] - Table1[[#This Row],[Appointment Date]]</f>
        <v>1.625</v>
      </c>
    </row>
    <row r="760" spans="1:23" x14ac:dyDescent="0.3">
      <c r="A760" t="s">
        <v>817</v>
      </c>
      <c r="B760">
        <v>52</v>
      </c>
      <c r="C760" t="s">
        <v>41</v>
      </c>
      <c r="D760" s="2">
        <v>45458</v>
      </c>
      <c r="E760" s="2">
        <v>45460</v>
      </c>
      <c r="F760">
        <v>2</v>
      </c>
      <c r="G760" t="s">
        <v>34</v>
      </c>
      <c r="H760">
        <v>2</v>
      </c>
      <c r="I760" t="s">
        <v>35</v>
      </c>
      <c r="J760">
        <v>6193</v>
      </c>
      <c r="K760" t="s">
        <v>25</v>
      </c>
      <c r="L760" t="s">
        <v>54</v>
      </c>
      <c r="M760" t="s">
        <v>27</v>
      </c>
      <c r="N760" s="2">
        <v>45571</v>
      </c>
      <c r="O760" s="2">
        <v>45571.166666666664</v>
      </c>
      <c r="P760" t="s">
        <v>42</v>
      </c>
      <c r="Q760" t="s">
        <v>29</v>
      </c>
      <c r="R760" t="s">
        <v>47</v>
      </c>
      <c r="S760">
        <v>6</v>
      </c>
      <c r="T760">
        <v>8</v>
      </c>
      <c r="U760" t="s">
        <v>48</v>
      </c>
      <c r="V760" t="str">
        <f t="shared" si="11"/>
        <v>Jun-2024</v>
      </c>
      <c r="W760" s="16">
        <f>Table1[[#This Row],[Consultation Date]] - Table1[[#This Row],[Appointment Date]]</f>
        <v>0.16666666666424135</v>
      </c>
    </row>
    <row r="761" spans="1:23" x14ac:dyDescent="0.3">
      <c r="A761" t="s">
        <v>818</v>
      </c>
      <c r="B761">
        <v>38</v>
      </c>
      <c r="C761" t="s">
        <v>62</v>
      </c>
      <c r="D761" s="2">
        <v>45379</v>
      </c>
      <c r="E761" s="2">
        <v>45600</v>
      </c>
      <c r="F761">
        <v>14</v>
      </c>
      <c r="G761" t="s">
        <v>63</v>
      </c>
      <c r="H761">
        <v>3</v>
      </c>
      <c r="I761" t="s">
        <v>66</v>
      </c>
      <c r="J761">
        <v>9512</v>
      </c>
      <c r="K761" t="s">
        <v>36</v>
      </c>
      <c r="L761" t="s">
        <v>26</v>
      </c>
      <c r="M761" t="s">
        <v>41</v>
      </c>
      <c r="N761" s="2">
        <v>45374</v>
      </c>
      <c r="O761" s="2">
        <v>45374.833333333336</v>
      </c>
      <c r="P761" t="s">
        <v>64</v>
      </c>
      <c r="Q761" t="s">
        <v>38</v>
      </c>
      <c r="R761" t="s">
        <v>47</v>
      </c>
      <c r="S761">
        <v>7</v>
      </c>
      <c r="T761">
        <v>12</v>
      </c>
      <c r="U761" t="s">
        <v>31</v>
      </c>
      <c r="V761" t="str">
        <f t="shared" si="11"/>
        <v>Mar-2024</v>
      </c>
      <c r="W761" s="16">
        <f>Table1[[#This Row],[Consultation Date]] - Table1[[#This Row],[Appointment Date]]</f>
        <v>0.83333333333575865</v>
      </c>
    </row>
    <row r="762" spans="1:23" x14ac:dyDescent="0.3">
      <c r="A762" t="s">
        <v>819</v>
      </c>
      <c r="B762">
        <v>88</v>
      </c>
      <c r="C762" t="s">
        <v>62</v>
      </c>
      <c r="D762" s="2">
        <v>45270</v>
      </c>
      <c r="E762" s="2">
        <v>45223</v>
      </c>
      <c r="F762">
        <v>12</v>
      </c>
      <c r="G762" t="s">
        <v>50</v>
      </c>
      <c r="H762">
        <v>2</v>
      </c>
      <c r="I762" t="s">
        <v>24</v>
      </c>
      <c r="J762">
        <v>27666</v>
      </c>
      <c r="K762" t="s">
        <v>60</v>
      </c>
      <c r="L762" t="s">
        <v>54</v>
      </c>
      <c r="M762" t="s">
        <v>41</v>
      </c>
      <c r="N762" s="2">
        <v>45179</v>
      </c>
      <c r="O762" s="2">
        <v>45209.791666666664</v>
      </c>
      <c r="P762" t="s">
        <v>37</v>
      </c>
      <c r="Q762" t="s">
        <v>29</v>
      </c>
      <c r="R762" t="s">
        <v>30</v>
      </c>
      <c r="S762">
        <v>9</v>
      </c>
      <c r="T762">
        <v>12</v>
      </c>
      <c r="U762" t="s">
        <v>48</v>
      </c>
      <c r="V762" t="str">
        <f t="shared" si="11"/>
        <v>Dec-2023</v>
      </c>
      <c r="W762" s="16">
        <f>Table1[[#This Row],[Consultation Date]] - Table1[[#This Row],[Appointment Date]]</f>
        <v>30.791666666664241</v>
      </c>
    </row>
    <row r="763" spans="1:23" x14ac:dyDescent="0.3">
      <c r="A763" t="s">
        <v>820</v>
      </c>
      <c r="B763">
        <v>79</v>
      </c>
      <c r="C763" t="s">
        <v>22</v>
      </c>
      <c r="D763" s="2">
        <v>45053</v>
      </c>
      <c r="E763" s="2">
        <v>45123</v>
      </c>
      <c r="F763">
        <v>11</v>
      </c>
      <c r="G763" t="s">
        <v>63</v>
      </c>
      <c r="H763">
        <v>2</v>
      </c>
      <c r="I763" t="s">
        <v>66</v>
      </c>
      <c r="J763">
        <v>21630</v>
      </c>
      <c r="K763" t="s">
        <v>36</v>
      </c>
      <c r="L763" t="s">
        <v>54</v>
      </c>
      <c r="M763" t="s">
        <v>27</v>
      </c>
      <c r="N763" s="2">
        <v>44933</v>
      </c>
      <c r="O763" s="2">
        <v>44992</v>
      </c>
      <c r="P763" t="s">
        <v>37</v>
      </c>
      <c r="Q763" t="s">
        <v>29</v>
      </c>
      <c r="R763" t="s">
        <v>47</v>
      </c>
      <c r="S763">
        <v>4</v>
      </c>
      <c r="T763">
        <v>12</v>
      </c>
      <c r="U763" t="s">
        <v>48</v>
      </c>
      <c r="V763" t="str">
        <f t="shared" si="11"/>
        <v>May-2023</v>
      </c>
      <c r="W763" s="16">
        <f>Table1[[#This Row],[Consultation Date]] - Table1[[#This Row],[Appointment Date]]</f>
        <v>59</v>
      </c>
    </row>
    <row r="764" spans="1:23" x14ac:dyDescent="0.3">
      <c r="A764" t="s">
        <v>821</v>
      </c>
      <c r="B764">
        <v>30</v>
      </c>
      <c r="C764" t="s">
        <v>52</v>
      </c>
      <c r="D764" s="2">
        <v>45373</v>
      </c>
      <c r="E764" s="2">
        <v>45379</v>
      </c>
      <c r="F764">
        <v>6</v>
      </c>
      <c r="G764" t="s">
        <v>23</v>
      </c>
      <c r="H764">
        <v>3</v>
      </c>
      <c r="I764" t="s">
        <v>71</v>
      </c>
      <c r="J764">
        <v>13983</v>
      </c>
      <c r="K764" t="s">
        <v>25</v>
      </c>
      <c r="L764" t="s">
        <v>26</v>
      </c>
      <c r="M764" t="s">
        <v>27</v>
      </c>
      <c r="N764" s="2">
        <v>45371</v>
      </c>
      <c r="O764" s="2">
        <v>45372.791666666664</v>
      </c>
      <c r="P764" t="s">
        <v>28</v>
      </c>
      <c r="Q764" t="s">
        <v>29</v>
      </c>
      <c r="R764" t="s">
        <v>47</v>
      </c>
      <c r="S764">
        <v>8</v>
      </c>
      <c r="T764">
        <v>10</v>
      </c>
      <c r="U764" t="s">
        <v>48</v>
      </c>
      <c r="V764" t="str">
        <f t="shared" si="11"/>
        <v>Mar-2024</v>
      </c>
      <c r="W764" s="16">
        <f>Table1[[#This Row],[Consultation Date]] - Table1[[#This Row],[Appointment Date]]</f>
        <v>1.7916666666642413</v>
      </c>
    </row>
    <row r="765" spans="1:23" x14ac:dyDescent="0.3">
      <c r="A765" t="s">
        <v>822</v>
      </c>
      <c r="B765">
        <v>51</v>
      </c>
      <c r="C765" t="s">
        <v>33</v>
      </c>
      <c r="D765" s="2">
        <v>45430</v>
      </c>
      <c r="E765" s="2">
        <v>45443</v>
      </c>
      <c r="F765">
        <v>13</v>
      </c>
      <c r="G765" t="s">
        <v>57</v>
      </c>
      <c r="H765">
        <v>3</v>
      </c>
      <c r="I765" t="s">
        <v>35</v>
      </c>
      <c r="J765">
        <v>5636</v>
      </c>
      <c r="K765" t="s">
        <v>60</v>
      </c>
      <c r="L765" t="s">
        <v>26</v>
      </c>
      <c r="M765" t="s">
        <v>41</v>
      </c>
      <c r="N765" s="2">
        <v>45425</v>
      </c>
      <c r="O765" s="2">
        <v>45427</v>
      </c>
      <c r="P765" t="s">
        <v>55</v>
      </c>
      <c r="Q765" t="s">
        <v>29</v>
      </c>
      <c r="R765" t="s">
        <v>30</v>
      </c>
      <c r="S765">
        <v>8</v>
      </c>
      <c r="T765">
        <v>8</v>
      </c>
      <c r="U765" t="s">
        <v>48</v>
      </c>
      <c r="V765" t="str">
        <f t="shared" si="11"/>
        <v>May-2024</v>
      </c>
      <c r="W765" s="16">
        <f>Table1[[#This Row],[Consultation Date]] - Table1[[#This Row],[Appointment Date]]</f>
        <v>2</v>
      </c>
    </row>
    <row r="766" spans="1:23" x14ac:dyDescent="0.3">
      <c r="A766" t="s">
        <v>823</v>
      </c>
      <c r="B766">
        <v>81</v>
      </c>
      <c r="C766" t="s">
        <v>52</v>
      </c>
      <c r="D766" s="2">
        <v>45020</v>
      </c>
      <c r="E766" s="2">
        <v>45111</v>
      </c>
      <c r="F766">
        <v>3</v>
      </c>
      <c r="G766" t="s">
        <v>40</v>
      </c>
      <c r="H766">
        <v>2</v>
      </c>
      <c r="I766" t="s">
        <v>71</v>
      </c>
      <c r="J766">
        <v>8775</v>
      </c>
      <c r="K766" t="s">
        <v>53</v>
      </c>
      <c r="L766" t="s">
        <v>26</v>
      </c>
      <c r="M766" t="s">
        <v>27</v>
      </c>
      <c r="N766" s="2">
        <v>44930</v>
      </c>
      <c r="O766" s="2">
        <v>44930.5</v>
      </c>
      <c r="P766" t="s">
        <v>28</v>
      </c>
      <c r="Q766" t="s">
        <v>29</v>
      </c>
      <c r="R766" t="s">
        <v>47</v>
      </c>
      <c r="S766">
        <v>9</v>
      </c>
      <c r="T766">
        <v>8</v>
      </c>
      <c r="U766" t="s">
        <v>31</v>
      </c>
      <c r="V766" t="str">
        <f t="shared" si="11"/>
        <v>Apr-2023</v>
      </c>
      <c r="W766" s="16">
        <f>Table1[[#This Row],[Consultation Date]] - Table1[[#This Row],[Appointment Date]]</f>
        <v>0.5</v>
      </c>
    </row>
    <row r="767" spans="1:23" x14ac:dyDescent="0.3">
      <c r="A767" t="s">
        <v>824</v>
      </c>
      <c r="B767">
        <v>5</v>
      </c>
      <c r="C767" t="s">
        <v>45</v>
      </c>
      <c r="D767" s="2">
        <v>45408</v>
      </c>
      <c r="E767" s="2">
        <v>45411</v>
      </c>
      <c r="F767">
        <v>3</v>
      </c>
      <c r="G767" t="s">
        <v>50</v>
      </c>
      <c r="H767">
        <v>3</v>
      </c>
      <c r="I767" t="s">
        <v>35</v>
      </c>
      <c r="J767">
        <v>7421</v>
      </c>
      <c r="K767" t="s">
        <v>36</v>
      </c>
      <c r="L767" t="s">
        <v>54</v>
      </c>
      <c r="M767" t="s">
        <v>41</v>
      </c>
      <c r="N767" s="2">
        <v>45405</v>
      </c>
      <c r="O767" s="2">
        <v>45405.333333333336</v>
      </c>
      <c r="P767" t="s">
        <v>55</v>
      </c>
      <c r="Q767" t="s">
        <v>29</v>
      </c>
      <c r="R767" t="s">
        <v>30</v>
      </c>
      <c r="S767">
        <v>8</v>
      </c>
      <c r="T767">
        <v>12</v>
      </c>
      <c r="U767" t="s">
        <v>68</v>
      </c>
      <c r="V767" t="str">
        <f t="shared" si="11"/>
        <v>Apr-2024</v>
      </c>
      <c r="W767" s="16">
        <f>Table1[[#This Row],[Consultation Date]] - Table1[[#This Row],[Appointment Date]]</f>
        <v>0.33333333333575865</v>
      </c>
    </row>
    <row r="768" spans="1:23" x14ac:dyDescent="0.3">
      <c r="A768" t="s">
        <v>825</v>
      </c>
      <c r="B768">
        <v>29</v>
      </c>
      <c r="C768" t="s">
        <v>45</v>
      </c>
      <c r="D768" s="2">
        <v>45283</v>
      </c>
      <c r="E768" s="2">
        <v>45284</v>
      </c>
      <c r="F768">
        <v>1</v>
      </c>
      <c r="G768" t="s">
        <v>34</v>
      </c>
      <c r="H768">
        <v>1</v>
      </c>
      <c r="I768" t="s">
        <v>46</v>
      </c>
      <c r="J768">
        <v>18025</v>
      </c>
      <c r="K768" t="s">
        <v>36</v>
      </c>
      <c r="L768" t="s">
        <v>54</v>
      </c>
      <c r="M768" t="s">
        <v>41</v>
      </c>
      <c r="N768" s="2">
        <v>45282</v>
      </c>
      <c r="O768" s="2">
        <v>45282.041666666664</v>
      </c>
      <c r="P768" t="s">
        <v>28</v>
      </c>
      <c r="Q768" t="s">
        <v>29</v>
      </c>
      <c r="R768" t="s">
        <v>43</v>
      </c>
      <c r="S768">
        <v>4</v>
      </c>
      <c r="T768">
        <v>10</v>
      </c>
      <c r="U768" t="s">
        <v>68</v>
      </c>
      <c r="V768" t="str">
        <f t="shared" si="11"/>
        <v>Dec-2023</v>
      </c>
      <c r="W768" s="16">
        <f>Table1[[#This Row],[Consultation Date]] - Table1[[#This Row],[Appointment Date]]</f>
        <v>4.1666666664241347E-2</v>
      </c>
    </row>
    <row r="769" spans="1:23" x14ac:dyDescent="0.3">
      <c r="A769" t="s">
        <v>826</v>
      </c>
      <c r="B769">
        <v>4</v>
      </c>
      <c r="C769" t="s">
        <v>41</v>
      </c>
      <c r="D769" s="2">
        <v>45345</v>
      </c>
      <c r="E769" s="2">
        <v>45350</v>
      </c>
      <c r="F769">
        <v>5</v>
      </c>
      <c r="G769" t="s">
        <v>57</v>
      </c>
      <c r="H769">
        <v>3</v>
      </c>
      <c r="I769" t="s">
        <v>24</v>
      </c>
      <c r="J769">
        <v>14280</v>
      </c>
      <c r="K769" t="s">
        <v>60</v>
      </c>
      <c r="L769" t="s">
        <v>26</v>
      </c>
      <c r="M769" t="s">
        <v>41</v>
      </c>
      <c r="N769" s="2">
        <v>45343</v>
      </c>
      <c r="O769" s="2">
        <v>45344.916666666664</v>
      </c>
      <c r="P769" t="s">
        <v>55</v>
      </c>
      <c r="Q769" t="s">
        <v>29</v>
      </c>
      <c r="R769" t="s">
        <v>47</v>
      </c>
      <c r="S769">
        <v>5</v>
      </c>
      <c r="T769">
        <v>12</v>
      </c>
      <c r="U769" t="s">
        <v>68</v>
      </c>
      <c r="V769" t="str">
        <f t="shared" si="11"/>
        <v>Feb-2024</v>
      </c>
      <c r="W769" s="16">
        <f>Table1[[#This Row],[Consultation Date]] - Table1[[#This Row],[Appointment Date]]</f>
        <v>1.9166666666642413</v>
      </c>
    </row>
    <row r="770" spans="1:23" x14ac:dyDescent="0.3">
      <c r="A770" t="s">
        <v>827</v>
      </c>
      <c r="B770">
        <v>10</v>
      </c>
      <c r="C770" t="s">
        <v>22</v>
      </c>
      <c r="D770" s="2">
        <v>45150</v>
      </c>
      <c r="E770" s="2">
        <v>45283</v>
      </c>
      <c r="F770">
        <v>15</v>
      </c>
      <c r="G770" t="s">
        <v>40</v>
      </c>
      <c r="H770">
        <v>3</v>
      </c>
      <c r="I770" t="s">
        <v>46</v>
      </c>
      <c r="J770">
        <v>41951</v>
      </c>
      <c r="K770" t="s">
        <v>53</v>
      </c>
      <c r="L770" t="s">
        <v>54</v>
      </c>
      <c r="M770" t="s">
        <v>27</v>
      </c>
      <c r="N770" s="2">
        <v>45058</v>
      </c>
      <c r="O770" s="2">
        <v>45058.375</v>
      </c>
      <c r="P770" t="s">
        <v>42</v>
      </c>
      <c r="Q770" t="s">
        <v>29</v>
      </c>
      <c r="R770" t="s">
        <v>30</v>
      </c>
      <c r="S770">
        <v>4</v>
      </c>
      <c r="T770">
        <v>8</v>
      </c>
      <c r="U770" t="s">
        <v>31</v>
      </c>
      <c r="V770" t="str">
        <f t="shared" ref="V770:V833" si="12">TEXT(D770,"mmm-yyyy")</f>
        <v>Aug-2023</v>
      </c>
      <c r="W770" s="16">
        <f>Table1[[#This Row],[Consultation Date]] - Table1[[#This Row],[Appointment Date]]</f>
        <v>0.375</v>
      </c>
    </row>
    <row r="771" spans="1:23" x14ac:dyDescent="0.3">
      <c r="A771" t="s">
        <v>828</v>
      </c>
      <c r="B771">
        <v>56</v>
      </c>
      <c r="C771" t="s">
        <v>22</v>
      </c>
      <c r="D771" s="2">
        <v>45255</v>
      </c>
      <c r="E771" s="2">
        <v>45181</v>
      </c>
      <c r="F771">
        <v>14</v>
      </c>
      <c r="G771" t="s">
        <v>63</v>
      </c>
      <c r="H771">
        <v>2</v>
      </c>
      <c r="I771" t="s">
        <v>46</v>
      </c>
      <c r="J771">
        <v>16351</v>
      </c>
      <c r="K771" t="s">
        <v>53</v>
      </c>
      <c r="L771" t="s">
        <v>54</v>
      </c>
      <c r="M771" t="s">
        <v>41</v>
      </c>
      <c r="N771" s="2">
        <v>45254</v>
      </c>
      <c r="O771" s="2">
        <v>45255.875</v>
      </c>
      <c r="P771" t="s">
        <v>37</v>
      </c>
      <c r="Q771" t="s">
        <v>29</v>
      </c>
      <c r="R771" t="s">
        <v>43</v>
      </c>
      <c r="S771">
        <v>7</v>
      </c>
      <c r="T771">
        <v>8</v>
      </c>
      <c r="U771" t="s">
        <v>68</v>
      </c>
      <c r="V771" t="str">
        <f t="shared" si="12"/>
        <v>Nov-2023</v>
      </c>
      <c r="W771" s="16">
        <f>Table1[[#This Row],[Consultation Date]] - Table1[[#This Row],[Appointment Date]]</f>
        <v>1.875</v>
      </c>
    </row>
    <row r="772" spans="1:23" x14ac:dyDescent="0.3">
      <c r="A772" t="s">
        <v>829</v>
      </c>
      <c r="B772">
        <v>17</v>
      </c>
      <c r="C772" t="s">
        <v>22</v>
      </c>
      <c r="D772" s="2">
        <v>45034</v>
      </c>
      <c r="E772" s="2">
        <v>45042</v>
      </c>
      <c r="F772">
        <v>8</v>
      </c>
      <c r="G772" t="s">
        <v>40</v>
      </c>
      <c r="H772">
        <v>1</v>
      </c>
      <c r="I772" t="s">
        <v>71</v>
      </c>
      <c r="J772">
        <v>43091</v>
      </c>
      <c r="K772" t="s">
        <v>60</v>
      </c>
      <c r="L772" t="s">
        <v>54</v>
      </c>
      <c r="M772" t="s">
        <v>41</v>
      </c>
      <c r="N772" s="2">
        <v>45030</v>
      </c>
      <c r="O772" s="2">
        <v>45030.041666666664</v>
      </c>
      <c r="P772" t="s">
        <v>55</v>
      </c>
      <c r="Q772" t="s">
        <v>29</v>
      </c>
      <c r="R772" t="s">
        <v>47</v>
      </c>
      <c r="S772">
        <v>11</v>
      </c>
      <c r="T772">
        <v>12</v>
      </c>
      <c r="U772" t="s">
        <v>31</v>
      </c>
      <c r="V772" t="str">
        <f t="shared" si="12"/>
        <v>Apr-2023</v>
      </c>
      <c r="W772" s="16">
        <f>Table1[[#This Row],[Consultation Date]] - Table1[[#This Row],[Appointment Date]]</f>
        <v>4.1666666664241347E-2</v>
      </c>
    </row>
    <row r="773" spans="1:23" x14ac:dyDescent="0.3">
      <c r="A773" t="s">
        <v>830</v>
      </c>
      <c r="B773">
        <v>74</v>
      </c>
      <c r="C773" t="s">
        <v>41</v>
      </c>
      <c r="D773" s="2">
        <v>45091</v>
      </c>
      <c r="E773" s="2">
        <v>45103</v>
      </c>
      <c r="F773">
        <v>12</v>
      </c>
      <c r="G773" t="s">
        <v>57</v>
      </c>
      <c r="H773">
        <v>4</v>
      </c>
      <c r="I773" t="s">
        <v>24</v>
      </c>
      <c r="J773">
        <v>35171</v>
      </c>
      <c r="K773" t="s">
        <v>67</v>
      </c>
      <c r="L773" t="s">
        <v>54</v>
      </c>
      <c r="M773" t="s">
        <v>27</v>
      </c>
      <c r="N773" s="2">
        <v>45236</v>
      </c>
      <c r="O773" s="2">
        <v>45236.458333333336</v>
      </c>
      <c r="P773" t="s">
        <v>42</v>
      </c>
      <c r="Q773" t="s">
        <v>29</v>
      </c>
      <c r="R773" t="s">
        <v>47</v>
      </c>
      <c r="S773">
        <v>10</v>
      </c>
      <c r="T773">
        <v>12</v>
      </c>
      <c r="U773" t="s">
        <v>31</v>
      </c>
      <c r="V773" t="str">
        <f t="shared" si="12"/>
        <v>Jun-2023</v>
      </c>
      <c r="W773" s="16">
        <f>Table1[[#This Row],[Consultation Date]] - Table1[[#This Row],[Appointment Date]]</f>
        <v>0.45833333333575865</v>
      </c>
    </row>
    <row r="774" spans="1:23" x14ac:dyDescent="0.3">
      <c r="A774" t="s">
        <v>831</v>
      </c>
      <c r="B774">
        <v>17</v>
      </c>
      <c r="C774" t="s">
        <v>45</v>
      </c>
      <c r="D774" s="2">
        <v>45028</v>
      </c>
      <c r="E774" s="2">
        <v>45278</v>
      </c>
      <c r="F774">
        <v>14</v>
      </c>
      <c r="G774" t="s">
        <v>57</v>
      </c>
      <c r="H774">
        <v>4</v>
      </c>
      <c r="I774" t="s">
        <v>35</v>
      </c>
      <c r="J774">
        <v>8644</v>
      </c>
      <c r="K774" t="s">
        <v>36</v>
      </c>
      <c r="L774" t="s">
        <v>54</v>
      </c>
      <c r="M774" t="s">
        <v>27</v>
      </c>
      <c r="N774" s="2">
        <v>44997</v>
      </c>
      <c r="O774" s="2">
        <v>45028.333333333336</v>
      </c>
      <c r="P774" t="s">
        <v>64</v>
      </c>
      <c r="Q774" t="s">
        <v>29</v>
      </c>
      <c r="R774" t="s">
        <v>30</v>
      </c>
      <c r="S774">
        <v>6</v>
      </c>
      <c r="T774">
        <v>8</v>
      </c>
      <c r="U774" t="s">
        <v>31</v>
      </c>
      <c r="V774" t="str">
        <f t="shared" si="12"/>
        <v>Apr-2023</v>
      </c>
      <c r="W774" s="16">
        <f>Table1[[#This Row],[Consultation Date]] - Table1[[#This Row],[Appointment Date]]</f>
        <v>31.333333333335759</v>
      </c>
    </row>
    <row r="775" spans="1:23" x14ac:dyDescent="0.3">
      <c r="A775" t="s">
        <v>832</v>
      </c>
      <c r="B775">
        <v>84</v>
      </c>
      <c r="C775" t="s">
        <v>52</v>
      </c>
      <c r="D775" s="2">
        <v>45348</v>
      </c>
      <c r="E775" s="2">
        <v>45351</v>
      </c>
      <c r="F775">
        <v>3</v>
      </c>
      <c r="G775" t="s">
        <v>23</v>
      </c>
      <c r="H775">
        <v>5</v>
      </c>
      <c r="I775" t="s">
        <v>35</v>
      </c>
      <c r="J775">
        <v>21142</v>
      </c>
      <c r="K775" t="s">
        <v>36</v>
      </c>
      <c r="L775" t="s">
        <v>54</v>
      </c>
      <c r="M775" t="s">
        <v>41</v>
      </c>
      <c r="N775" s="2">
        <v>45347</v>
      </c>
      <c r="O775" s="2">
        <v>45347.958333333336</v>
      </c>
      <c r="P775" t="s">
        <v>28</v>
      </c>
      <c r="Q775" t="s">
        <v>29</v>
      </c>
      <c r="R775" t="s">
        <v>43</v>
      </c>
      <c r="S775">
        <v>6</v>
      </c>
      <c r="T775">
        <v>12</v>
      </c>
      <c r="U775" t="s">
        <v>68</v>
      </c>
      <c r="V775" t="str">
        <f t="shared" si="12"/>
        <v>Feb-2024</v>
      </c>
      <c r="W775" s="16">
        <f>Table1[[#This Row],[Consultation Date]] - Table1[[#This Row],[Appointment Date]]</f>
        <v>0.95833333333575865</v>
      </c>
    </row>
    <row r="776" spans="1:23" x14ac:dyDescent="0.3">
      <c r="A776" t="s">
        <v>833</v>
      </c>
      <c r="B776">
        <v>88</v>
      </c>
      <c r="C776" t="s">
        <v>41</v>
      </c>
      <c r="D776" s="2">
        <v>45434</v>
      </c>
      <c r="E776" s="2">
        <v>45388</v>
      </c>
      <c r="F776">
        <v>13</v>
      </c>
      <c r="G776" t="s">
        <v>23</v>
      </c>
      <c r="H776">
        <v>3</v>
      </c>
      <c r="I776" t="s">
        <v>66</v>
      </c>
      <c r="J776">
        <v>12773</v>
      </c>
      <c r="K776" t="s">
        <v>25</v>
      </c>
      <c r="L776" t="s">
        <v>54</v>
      </c>
      <c r="M776" t="s">
        <v>27</v>
      </c>
      <c r="N776" s="2">
        <v>45432</v>
      </c>
      <c r="O776" s="2">
        <v>45433.416666666664</v>
      </c>
      <c r="P776" t="s">
        <v>64</v>
      </c>
      <c r="Q776" t="s">
        <v>29</v>
      </c>
      <c r="R776" t="s">
        <v>30</v>
      </c>
      <c r="S776">
        <v>11</v>
      </c>
      <c r="T776">
        <v>8</v>
      </c>
      <c r="U776" t="s">
        <v>68</v>
      </c>
      <c r="V776" t="str">
        <f t="shared" si="12"/>
        <v>May-2024</v>
      </c>
      <c r="W776" s="16">
        <f>Table1[[#This Row],[Consultation Date]] - Table1[[#This Row],[Appointment Date]]</f>
        <v>1.4166666666642413</v>
      </c>
    </row>
    <row r="777" spans="1:23" x14ac:dyDescent="0.3">
      <c r="A777" t="s">
        <v>834</v>
      </c>
      <c r="B777">
        <v>69</v>
      </c>
      <c r="C777" t="s">
        <v>41</v>
      </c>
      <c r="D777" s="2">
        <v>45222</v>
      </c>
      <c r="E777" s="2">
        <v>45027</v>
      </c>
      <c r="F777">
        <v>12</v>
      </c>
      <c r="G777" t="s">
        <v>40</v>
      </c>
      <c r="H777">
        <v>3</v>
      </c>
      <c r="I777" t="s">
        <v>35</v>
      </c>
      <c r="J777">
        <v>33466</v>
      </c>
      <c r="K777" t="s">
        <v>60</v>
      </c>
      <c r="L777" t="s">
        <v>26</v>
      </c>
      <c r="M777" t="s">
        <v>41</v>
      </c>
      <c r="N777" s="2">
        <v>45217</v>
      </c>
      <c r="O777" s="2">
        <v>45218.416666666664</v>
      </c>
      <c r="P777" t="s">
        <v>42</v>
      </c>
      <c r="Q777" t="s">
        <v>29</v>
      </c>
      <c r="R777" t="s">
        <v>47</v>
      </c>
      <c r="S777">
        <v>7</v>
      </c>
      <c r="T777">
        <v>12</v>
      </c>
      <c r="U777" t="s">
        <v>68</v>
      </c>
      <c r="V777" t="str">
        <f t="shared" si="12"/>
        <v>Oct-2023</v>
      </c>
      <c r="W777" s="16">
        <f>Table1[[#This Row],[Consultation Date]] - Table1[[#This Row],[Appointment Date]]</f>
        <v>1.4166666666642413</v>
      </c>
    </row>
    <row r="778" spans="1:23" x14ac:dyDescent="0.3">
      <c r="A778" t="s">
        <v>835</v>
      </c>
      <c r="B778">
        <v>34</v>
      </c>
      <c r="C778" t="s">
        <v>52</v>
      </c>
      <c r="D778" s="2">
        <v>45337</v>
      </c>
      <c r="E778" s="2">
        <v>45345</v>
      </c>
      <c r="F778">
        <v>8</v>
      </c>
      <c r="G778" t="s">
        <v>63</v>
      </c>
      <c r="H778">
        <v>1</v>
      </c>
      <c r="I778" t="s">
        <v>71</v>
      </c>
      <c r="J778">
        <v>15778</v>
      </c>
      <c r="K778" t="s">
        <v>25</v>
      </c>
      <c r="L778" t="s">
        <v>54</v>
      </c>
      <c r="M778" t="s">
        <v>27</v>
      </c>
      <c r="N778" s="2">
        <v>45336</v>
      </c>
      <c r="O778" s="2">
        <v>45337.958333333336</v>
      </c>
      <c r="P778" t="s">
        <v>64</v>
      </c>
      <c r="Q778" t="s">
        <v>29</v>
      </c>
      <c r="R778" t="s">
        <v>47</v>
      </c>
      <c r="S778">
        <v>7</v>
      </c>
      <c r="T778">
        <v>10</v>
      </c>
      <c r="U778" t="s">
        <v>48</v>
      </c>
      <c r="V778" t="str">
        <f t="shared" si="12"/>
        <v>Feb-2024</v>
      </c>
      <c r="W778" s="16">
        <f>Table1[[#This Row],[Consultation Date]] - Table1[[#This Row],[Appointment Date]]</f>
        <v>1.9583333333357587</v>
      </c>
    </row>
    <row r="779" spans="1:23" x14ac:dyDescent="0.3">
      <c r="A779" t="s">
        <v>836</v>
      </c>
      <c r="B779">
        <v>6</v>
      </c>
      <c r="C779" t="s">
        <v>22</v>
      </c>
      <c r="D779" s="2">
        <v>45109</v>
      </c>
      <c r="E779" s="2">
        <v>44972</v>
      </c>
      <c r="F779">
        <v>8</v>
      </c>
      <c r="G779" t="s">
        <v>40</v>
      </c>
      <c r="H779">
        <v>4</v>
      </c>
      <c r="I779" t="s">
        <v>46</v>
      </c>
      <c r="J779">
        <v>17501</v>
      </c>
      <c r="K779" t="s">
        <v>25</v>
      </c>
      <c r="L779" t="s">
        <v>54</v>
      </c>
      <c r="M779" t="s">
        <v>27</v>
      </c>
      <c r="N779" s="2">
        <v>45018</v>
      </c>
      <c r="O779" s="2">
        <v>45018.708333333336</v>
      </c>
      <c r="P779" t="s">
        <v>64</v>
      </c>
      <c r="Q779" t="s">
        <v>38</v>
      </c>
      <c r="R779" t="s">
        <v>47</v>
      </c>
      <c r="S779">
        <v>10</v>
      </c>
      <c r="T779">
        <v>8</v>
      </c>
      <c r="U779" t="s">
        <v>31</v>
      </c>
      <c r="V779" t="str">
        <f t="shared" si="12"/>
        <v>Jul-2023</v>
      </c>
      <c r="W779" s="16">
        <f>Table1[[#This Row],[Consultation Date]] - Table1[[#This Row],[Appointment Date]]</f>
        <v>0.70833333333575865</v>
      </c>
    </row>
    <row r="780" spans="1:23" x14ac:dyDescent="0.3">
      <c r="A780" t="s">
        <v>837</v>
      </c>
      <c r="B780">
        <v>53</v>
      </c>
      <c r="C780" t="s">
        <v>33</v>
      </c>
      <c r="D780" s="2">
        <v>45569</v>
      </c>
      <c r="E780" s="2">
        <v>45402</v>
      </c>
      <c r="F780">
        <v>10</v>
      </c>
      <c r="G780" t="s">
        <v>57</v>
      </c>
      <c r="H780">
        <v>5</v>
      </c>
      <c r="I780" t="s">
        <v>46</v>
      </c>
      <c r="J780">
        <v>7108</v>
      </c>
      <c r="K780" t="s">
        <v>53</v>
      </c>
      <c r="L780" t="s">
        <v>54</v>
      </c>
      <c r="M780" t="s">
        <v>27</v>
      </c>
      <c r="N780" s="2">
        <v>45569</v>
      </c>
      <c r="O780" s="2">
        <v>45569.458333333336</v>
      </c>
      <c r="P780" t="s">
        <v>42</v>
      </c>
      <c r="Q780" t="s">
        <v>29</v>
      </c>
      <c r="R780" t="s">
        <v>47</v>
      </c>
      <c r="S780">
        <v>10</v>
      </c>
      <c r="T780">
        <v>10</v>
      </c>
      <c r="U780" t="s">
        <v>48</v>
      </c>
      <c r="V780" t="str">
        <f t="shared" si="12"/>
        <v>Oct-2024</v>
      </c>
      <c r="W780" s="16">
        <f>Table1[[#This Row],[Consultation Date]] - Table1[[#This Row],[Appointment Date]]</f>
        <v>0.45833333333575865</v>
      </c>
    </row>
    <row r="781" spans="1:23" x14ac:dyDescent="0.3">
      <c r="A781" t="s">
        <v>838</v>
      </c>
      <c r="B781">
        <v>66</v>
      </c>
      <c r="C781" t="s">
        <v>52</v>
      </c>
      <c r="D781" s="2">
        <v>44930</v>
      </c>
      <c r="E781" s="2">
        <v>44961</v>
      </c>
      <c r="F781">
        <v>1</v>
      </c>
      <c r="G781" t="s">
        <v>57</v>
      </c>
      <c r="H781">
        <v>1</v>
      </c>
      <c r="I781" t="s">
        <v>46</v>
      </c>
      <c r="J781">
        <v>34369</v>
      </c>
      <c r="K781" t="s">
        <v>36</v>
      </c>
      <c r="L781" t="s">
        <v>54</v>
      </c>
      <c r="M781" t="s">
        <v>27</v>
      </c>
      <c r="N781" s="2">
        <v>45013</v>
      </c>
      <c r="O781" s="2">
        <v>45014</v>
      </c>
      <c r="P781" t="s">
        <v>37</v>
      </c>
      <c r="Q781" t="s">
        <v>29</v>
      </c>
      <c r="R781" t="s">
        <v>43</v>
      </c>
      <c r="S781">
        <v>6</v>
      </c>
      <c r="T781">
        <v>12</v>
      </c>
      <c r="U781" t="s">
        <v>31</v>
      </c>
      <c r="V781" t="str">
        <f t="shared" si="12"/>
        <v>Jan-2023</v>
      </c>
      <c r="W781" s="16">
        <f>Table1[[#This Row],[Consultation Date]] - Table1[[#This Row],[Appointment Date]]</f>
        <v>1</v>
      </c>
    </row>
    <row r="782" spans="1:23" x14ac:dyDescent="0.3">
      <c r="A782" t="s">
        <v>839</v>
      </c>
      <c r="B782">
        <v>77</v>
      </c>
      <c r="C782" t="s">
        <v>45</v>
      </c>
      <c r="D782" s="2">
        <v>45249</v>
      </c>
      <c r="E782" s="2">
        <v>45028</v>
      </c>
      <c r="F782">
        <v>15</v>
      </c>
      <c r="G782" t="s">
        <v>34</v>
      </c>
      <c r="H782">
        <v>3</v>
      </c>
      <c r="I782" t="s">
        <v>24</v>
      </c>
      <c r="J782">
        <v>41382</v>
      </c>
      <c r="K782" t="s">
        <v>25</v>
      </c>
      <c r="L782" t="s">
        <v>54</v>
      </c>
      <c r="M782" t="s">
        <v>27</v>
      </c>
      <c r="N782" s="2">
        <v>45246</v>
      </c>
      <c r="O782" s="2">
        <v>45246.375</v>
      </c>
      <c r="P782" t="s">
        <v>55</v>
      </c>
      <c r="Q782" t="s">
        <v>29</v>
      </c>
      <c r="R782" t="s">
        <v>43</v>
      </c>
      <c r="S782">
        <v>10</v>
      </c>
      <c r="T782">
        <v>10</v>
      </c>
      <c r="U782" t="s">
        <v>68</v>
      </c>
      <c r="V782" t="str">
        <f t="shared" si="12"/>
        <v>Nov-2023</v>
      </c>
      <c r="W782" s="16">
        <f>Table1[[#This Row],[Consultation Date]] - Table1[[#This Row],[Appointment Date]]</f>
        <v>0.375</v>
      </c>
    </row>
    <row r="783" spans="1:23" x14ac:dyDescent="0.3">
      <c r="A783" t="s">
        <v>840</v>
      </c>
      <c r="B783">
        <v>43</v>
      </c>
      <c r="C783" t="s">
        <v>62</v>
      </c>
      <c r="D783" s="2">
        <v>45185</v>
      </c>
      <c r="E783" s="2">
        <v>45187</v>
      </c>
      <c r="F783">
        <v>2</v>
      </c>
      <c r="G783" t="s">
        <v>23</v>
      </c>
      <c r="H783">
        <v>4</v>
      </c>
      <c r="I783" t="s">
        <v>35</v>
      </c>
      <c r="J783">
        <v>30818</v>
      </c>
      <c r="K783" t="s">
        <v>53</v>
      </c>
      <c r="L783" t="s">
        <v>26</v>
      </c>
      <c r="M783" t="s">
        <v>41</v>
      </c>
      <c r="N783" s="2">
        <v>45182</v>
      </c>
      <c r="O783" s="2">
        <v>45184</v>
      </c>
      <c r="P783" t="s">
        <v>28</v>
      </c>
      <c r="Q783" t="s">
        <v>38</v>
      </c>
      <c r="R783" t="s">
        <v>30</v>
      </c>
      <c r="S783">
        <v>10</v>
      </c>
      <c r="T783">
        <v>12</v>
      </c>
      <c r="U783" t="s">
        <v>31</v>
      </c>
      <c r="V783" t="str">
        <f t="shared" si="12"/>
        <v>Sep-2023</v>
      </c>
      <c r="W783" s="16">
        <f>Table1[[#This Row],[Consultation Date]] - Table1[[#This Row],[Appointment Date]]</f>
        <v>2</v>
      </c>
    </row>
    <row r="784" spans="1:23" x14ac:dyDescent="0.3">
      <c r="A784" t="s">
        <v>841</v>
      </c>
      <c r="B784">
        <v>75</v>
      </c>
      <c r="C784" t="s">
        <v>62</v>
      </c>
      <c r="D784" s="2">
        <v>45258</v>
      </c>
      <c r="E784" s="2">
        <v>45259</v>
      </c>
      <c r="F784">
        <v>1</v>
      </c>
      <c r="G784" t="s">
        <v>34</v>
      </c>
      <c r="H784">
        <v>5</v>
      </c>
      <c r="I784" t="s">
        <v>71</v>
      </c>
      <c r="J784">
        <v>15251</v>
      </c>
      <c r="K784" t="s">
        <v>60</v>
      </c>
      <c r="L784" t="s">
        <v>54</v>
      </c>
      <c r="M784" t="s">
        <v>27</v>
      </c>
      <c r="N784" s="2">
        <v>45254</v>
      </c>
      <c r="O784" s="2">
        <v>45254.75</v>
      </c>
      <c r="P784" t="s">
        <v>55</v>
      </c>
      <c r="Q784" t="s">
        <v>29</v>
      </c>
      <c r="R784" t="s">
        <v>30</v>
      </c>
      <c r="S784">
        <v>10</v>
      </c>
      <c r="T784">
        <v>10</v>
      </c>
      <c r="U784" t="s">
        <v>31</v>
      </c>
      <c r="V784" t="str">
        <f t="shared" si="12"/>
        <v>Nov-2023</v>
      </c>
      <c r="W784" s="16">
        <f>Table1[[#This Row],[Consultation Date]] - Table1[[#This Row],[Appointment Date]]</f>
        <v>0.75</v>
      </c>
    </row>
    <row r="785" spans="1:23" x14ac:dyDescent="0.3">
      <c r="A785" t="s">
        <v>842</v>
      </c>
      <c r="B785">
        <v>23</v>
      </c>
      <c r="C785" t="s">
        <v>41</v>
      </c>
      <c r="D785" s="2">
        <v>45045</v>
      </c>
      <c r="E785" s="2">
        <v>45021</v>
      </c>
      <c r="F785">
        <v>5</v>
      </c>
      <c r="G785" t="s">
        <v>50</v>
      </c>
      <c r="H785">
        <v>2</v>
      </c>
      <c r="I785" t="s">
        <v>24</v>
      </c>
      <c r="J785">
        <v>28341</v>
      </c>
      <c r="K785" t="s">
        <v>25</v>
      </c>
      <c r="L785" t="s">
        <v>26</v>
      </c>
      <c r="M785" t="s">
        <v>41</v>
      </c>
      <c r="N785" s="2">
        <v>45041</v>
      </c>
      <c r="O785" s="2">
        <v>45042.958333333336</v>
      </c>
      <c r="P785" t="s">
        <v>28</v>
      </c>
      <c r="Q785" t="s">
        <v>29</v>
      </c>
      <c r="R785" t="s">
        <v>30</v>
      </c>
      <c r="S785">
        <v>11</v>
      </c>
      <c r="T785">
        <v>10</v>
      </c>
      <c r="U785" t="s">
        <v>48</v>
      </c>
      <c r="V785" t="str">
        <f t="shared" si="12"/>
        <v>Apr-2023</v>
      </c>
      <c r="W785" s="16">
        <f>Table1[[#This Row],[Consultation Date]] - Table1[[#This Row],[Appointment Date]]</f>
        <v>1.9583333333357587</v>
      </c>
    </row>
    <row r="786" spans="1:23" x14ac:dyDescent="0.3">
      <c r="A786" t="s">
        <v>843</v>
      </c>
      <c r="B786">
        <v>55</v>
      </c>
      <c r="C786" t="s">
        <v>62</v>
      </c>
      <c r="D786" s="2">
        <v>45340</v>
      </c>
      <c r="E786" s="2">
        <v>45344</v>
      </c>
      <c r="F786">
        <v>4</v>
      </c>
      <c r="G786" t="s">
        <v>57</v>
      </c>
      <c r="H786">
        <v>4</v>
      </c>
      <c r="I786" t="s">
        <v>66</v>
      </c>
      <c r="J786">
        <v>16678</v>
      </c>
      <c r="K786" t="s">
        <v>36</v>
      </c>
      <c r="L786" t="s">
        <v>54</v>
      </c>
      <c r="M786" t="s">
        <v>27</v>
      </c>
      <c r="N786" s="2">
        <v>45339</v>
      </c>
      <c r="O786" s="2">
        <v>45339.333333333336</v>
      </c>
      <c r="P786" t="s">
        <v>55</v>
      </c>
      <c r="Q786" t="s">
        <v>29</v>
      </c>
      <c r="R786" t="s">
        <v>47</v>
      </c>
      <c r="S786">
        <v>9</v>
      </c>
      <c r="T786">
        <v>10</v>
      </c>
      <c r="U786" t="s">
        <v>31</v>
      </c>
      <c r="V786" t="str">
        <f t="shared" si="12"/>
        <v>Feb-2024</v>
      </c>
      <c r="W786" s="16">
        <f>Table1[[#This Row],[Consultation Date]] - Table1[[#This Row],[Appointment Date]]</f>
        <v>0.33333333333575865</v>
      </c>
    </row>
    <row r="787" spans="1:23" x14ac:dyDescent="0.3">
      <c r="A787" t="s">
        <v>844</v>
      </c>
      <c r="B787">
        <v>80</v>
      </c>
      <c r="C787" t="s">
        <v>33</v>
      </c>
      <c r="D787" s="2">
        <v>45571</v>
      </c>
      <c r="E787" s="2">
        <v>45467</v>
      </c>
      <c r="F787">
        <v>14</v>
      </c>
      <c r="G787" t="s">
        <v>34</v>
      </c>
      <c r="H787">
        <v>5</v>
      </c>
      <c r="I787" t="s">
        <v>71</v>
      </c>
      <c r="J787">
        <v>19367</v>
      </c>
      <c r="K787" t="s">
        <v>25</v>
      </c>
      <c r="L787" t="s">
        <v>54</v>
      </c>
      <c r="M787" t="s">
        <v>27</v>
      </c>
      <c r="N787" s="2">
        <v>45479</v>
      </c>
      <c r="O787" s="2">
        <v>45479.083333333336</v>
      </c>
      <c r="P787" t="s">
        <v>64</v>
      </c>
      <c r="Q787" t="s">
        <v>29</v>
      </c>
      <c r="R787" t="s">
        <v>30</v>
      </c>
      <c r="S787">
        <v>5</v>
      </c>
      <c r="T787">
        <v>8</v>
      </c>
      <c r="U787" t="s">
        <v>68</v>
      </c>
      <c r="V787" t="str">
        <f t="shared" si="12"/>
        <v>Oct-2024</v>
      </c>
      <c r="W787" s="16">
        <f>Table1[[#This Row],[Consultation Date]] - Table1[[#This Row],[Appointment Date]]</f>
        <v>8.3333333335758653E-2</v>
      </c>
    </row>
    <row r="788" spans="1:23" x14ac:dyDescent="0.3">
      <c r="A788" t="s">
        <v>845</v>
      </c>
      <c r="B788">
        <v>75</v>
      </c>
      <c r="C788" t="s">
        <v>22</v>
      </c>
      <c r="D788" s="2">
        <v>44958</v>
      </c>
      <c r="E788" s="2">
        <v>45047</v>
      </c>
      <c r="F788">
        <v>3</v>
      </c>
      <c r="G788" t="s">
        <v>40</v>
      </c>
      <c r="H788">
        <v>1</v>
      </c>
      <c r="I788" t="s">
        <v>71</v>
      </c>
      <c r="J788">
        <v>34672</v>
      </c>
      <c r="K788" t="s">
        <v>60</v>
      </c>
      <c r="L788" t="s">
        <v>26</v>
      </c>
      <c r="M788" t="s">
        <v>27</v>
      </c>
      <c r="N788" s="2">
        <v>44927</v>
      </c>
      <c r="O788" s="2">
        <v>44927.916666666664</v>
      </c>
      <c r="P788" t="s">
        <v>37</v>
      </c>
      <c r="Q788" t="s">
        <v>38</v>
      </c>
      <c r="R788" t="s">
        <v>43</v>
      </c>
      <c r="S788">
        <v>10</v>
      </c>
      <c r="T788">
        <v>10</v>
      </c>
      <c r="U788" t="s">
        <v>31</v>
      </c>
      <c r="V788" t="str">
        <f t="shared" si="12"/>
        <v>Feb-2023</v>
      </c>
      <c r="W788" s="16">
        <f>Table1[[#This Row],[Consultation Date]] - Table1[[#This Row],[Appointment Date]]</f>
        <v>0.91666666666424135</v>
      </c>
    </row>
    <row r="789" spans="1:23" x14ac:dyDescent="0.3">
      <c r="A789" t="s">
        <v>846</v>
      </c>
      <c r="B789">
        <v>16</v>
      </c>
      <c r="C789" t="s">
        <v>45</v>
      </c>
      <c r="D789" s="2">
        <v>45400</v>
      </c>
      <c r="E789" s="2">
        <v>45409</v>
      </c>
      <c r="F789">
        <v>9</v>
      </c>
      <c r="G789" t="s">
        <v>23</v>
      </c>
      <c r="H789">
        <v>2</v>
      </c>
      <c r="I789" t="s">
        <v>71</v>
      </c>
      <c r="J789">
        <v>9332</v>
      </c>
      <c r="K789" t="s">
        <v>25</v>
      </c>
      <c r="L789" t="s">
        <v>54</v>
      </c>
      <c r="M789" t="s">
        <v>27</v>
      </c>
      <c r="N789" s="2">
        <v>45398</v>
      </c>
      <c r="O789" s="2">
        <v>45399.166666666664</v>
      </c>
      <c r="P789" t="s">
        <v>64</v>
      </c>
      <c r="Q789" t="s">
        <v>29</v>
      </c>
      <c r="R789" t="s">
        <v>30</v>
      </c>
      <c r="S789">
        <v>5</v>
      </c>
      <c r="T789">
        <v>12</v>
      </c>
      <c r="U789" t="s">
        <v>31</v>
      </c>
      <c r="V789" t="str">
        <f t="shared" si="12"/>
        <v>Apr-2024</v>
      </c>
      <c r="W789" s="16">
        <f>Table1[[#This Row],[Consultation Date]] - Table1[[#This Row],[Appointment Date]]</f>
        <v>1.1666666666642413</v>
      </c>
    </row>
    <row r="790" spans="1:23" x14ac:dyDescent="0.3">
      <c r="A790" t="s">
        <v>847</v>
      </c>
      <c r="B790">
        <v>8</v>
      </c>
      <c r="C790" t="s">
        <v>33</v>
      </c>
      <c r="D790" s="2">
        <v>45350</v>
      </c>
      <c r="E790" s="2">
        <v>45599</v>
      </c>
      <c r="F790">
        <v>12</v>
      </c>
      <c r="G790" t="s">
        <v>23</v>
      </c>
      <c r="H790">
        <v>5</v>
      </c>
      <c r="I790" t="s">
        <v>46</v>
      </c>
      <c r="J790">
        <v>17002</v>
      </c>
      <c r="K790" t="s">
        <v>36</v>
      </c>
      <c r="L790" t="s">
        <v>54</v>
      </c>
      <c r="M790" t="s">
        <v>27</v>
      </c>
      <c r="N790" s="2">
        <v>45349</v>
      </c>
      <c r="O790" s="2">
        <v>45349.75</v>
      </c>
      <c r="P790" t="s">
        <v>37</v>
      </c>
      <c r="Q790" t="s">
        <v>29</v>
      </c>
      <c r="R790" t="s">
        <v>30</v>
      </c>
      <c r="S790">
        <v>5</v>
      </c>
      <c r="T790">
        <v>12</v>
      </c>
      <c r="U790" t="s">
        <v>31</v>
      </c>
      <c r="V790" t="str">
        <f t="shared" si="12"/>
        <v>Feb-2024</v>
      </c>
      <c r="W790" s="16">
        <f>Table1[[#This Row],[Consultation Date]] - Table1[[#This Row],[Appointment Date]]</f>
        <v>0.75</v>
      </c>
    </row>
    <row r="791" spans="1:23" x14ac:dyDescent="0.3">
      <c r="A791" t="s">
        <v>848</v>
      </c>
      <c r="B791">
        <v>4</v>
      </c>
      <c r="C791" t="s">
        <v>45</v>
      </c>
      <c r="D791" s="2">
        <v>44982</v>
      </c>
      <c r="E791" s="2">
        <v>45110</v>
      </c>
      <c r="F791">
        <v>10</v>
      </c>
      <c r="G791" t="s">
        <v>63</v>
      </c>
      <c r="H791">
        <v>5</v>
      </c>
      <c r="I791" t="s">
        <v>71</v>
      </c>
      <c r="J791">
        <v>25284</v>
      </c>
      <c r="K791" t="s">
        <v>53</v>
      </c>
      <c r="L791" t="s">
        <v>54</v>
      </c>
      <c r="M791" t="s">
        <v>27</v>
      </c>
      <c r="N791" s="2">
        <v>44980</v>
      </c>
      <c r="O791" s="2">
        <v>44981.416666666664</v>
      </c>
      <c r="P791" t="s">
        <v>42</v>
      </c>
      <c r="Q791" t="s">
        <v>29</v>
      </c>
      <c r="R791" t="s">
        <v>43</v>
      </c>
      <c r="S791">
        <v>7</v>
      </c>
      <c r="T791">
        <v>8</v>
      </c>
      <c r="U791" t="s">
        <v>48</v>
      </c>
      <c r="V791" t="str">
        <f t="shared" si="12"/>
        <v>Feb-2023</v>
      </c>
      <c r="W791" s="16">
        <f>Table1[[#This Row],[Consultation Date]] - Table1[[#This Row],[Appointment Date]]</f>
        <v>1.4166666666642413</v>
      </c>
    </row>
    <row r="792" spans="1:23" x14ac:dyDescent="0.3">
      <c r="A792" t="s">
        <v>849</v>
      </c>
      <c r="B792">
        <v>4</v>
      </c>
      <c r="C792" t="s">
        <v>45</v>
      </c>
      <c r="D792" s="2">
        <v>45267</v>
      </c>
      <c r="E792" s="2">
        <v>45128</v>
      </c>
      <c r="F792">
        <v>9</v>
      </c>
      <c r="G792" t="s">
        <v>40</v>
      </c>
      <c r="H792">
        <v>3</v>
      </c>
      <c r="I792" t="s">
        <v>35</v>
      </c>
      <c r="J792">
        <v>20700</v>
      </c>
      <c r="K792" t="s">
        <v>36</v>
      </c>
      <c r="L792" t="s">
        <v>54</v>
      </c>
      <c r="M792" t="s">
        <v>41</v>
      </c>
      <c r="N792" s="2">
        <v>45114</v>
      </c>
      <c r="O792" s="2">
        <v>45114.208333333336</v>
      </c>
      <c r="P792" t="s">
        <v>28</v>
      </c>
      <c r="Q792" t="s">
        <v>29</v>
      </c>
      <c r="R792" t="s">
        <v>43</v>
      </c>
      <c r="S792">
        <v>10</v>
      </c>
      <c r="T792">
        <v>8</v>
      </c>
      <c r="U792" t="s">
        <v>31</v>
      </c>
      <c r="V792" t="str">
        <f t="shared" si="12"/>
        <v>Dec-2023</v>
      </c>
      <c r="W792" s="16">
        <f>Table1[[#This Row],[Consultation Date]] - Table1[[#This Row],[Appointment Date]]</f>
        <v>0.20833333333575865</v>
      </c>
    </row>
    <row r="793" spans="1:23" x14ac:dyDescent="0.3">
      <c r="A793" t="s">
        <v>850</v>
      </c>
      <c r="B793">
        <v>56</v>
      </c>
      <c r="C793" t="s">
        <v>22</v>
      </c>
      <c r="D793" s="2">
        <v>45457</v>
      </c>
      <c r="E793" s="2">
        <v>45464</v>
      </c>
      <c r="F793">
        <v>7</v>
      </c>
      <c r="G793" t="s">
        <v>63</v>
      </c>
      <c r="H793">
        <v>4</v>
      </c>
      <c r="I793" t="s">
        <v>71</v>
      </c>
      <c r="J793">
        <v>18769</v>
      </c>
      <c r="K793" t="s">
        <v>53</v>
      </c>
      <c r="L793" t="s">
        <v>54</v>
      </c>
      <c r="M793" t="s">
        <v>27</v>
      </c>
      <c r="N793" s="2">
        <v>45457</v>
      </c>
      <c r="O793" s="2">
        <v>45457.708333333336</v>
      </c>
      <c r="P793" t="s">
        <v>28</v>
      </c>
      <c r="Q793" t="s">
        <v>29</v>
      </c>
      <c r="R793" t="s">
        <v>47</v>
      </c>
      <c r="S793">
        <v>6</v>
      </c>
      <c r="T793">
        <v>12</v>
      </c>
      <c r="U793" t="s">
        <v>31</v>
      </c>
      <c r="V793" t="str">
        <f t="shared" si="12"/>
        <v>Jun-2024</v>
      </c>
      <c r="W793" s="16">
        <f>Table1[[#This Row],[Consultation Date]] - Table1[[#This Row],[Appointment Date]]</f>
        <v>0.70833333333575865</v>
      </c>
    </row>
    <row r="794" spans="1:23" x14ac:dyDescent="0.3">
      <c r="A794" t="s">
        <v>851</v>
      </c>
      <c r="B794">
        <v>25</v>
      </c>
      <c r="C794" t="s">
        <v>41</v>
      </c>
      <c r="D794" s="2">
        <v>45444</v>
      </c>
      <c r="E794" s="2">
        <v>45505</v>
      </c>
      <c r="F794">
        <v>2</v>
      </c>
      <c r="G794" t="s">
        <v>34</v>
      </c>
      <c r="H794">
        <v>3</v>
      </c>
      <c r="I794" t="s">
        <v>46</v>
      </c>
      <c r="J794">
        <v>34318</v>
      </c>
      <c r="K794" t="s">
        <v>67</v>
      </c>
      <c r="L794" t="s">
        <v>54</v>
      </c>
      <c r="M794" t="s">
        <v>27</v>
      </c>
      <c r="N794" s="2">
        <v>45352</v>
      </c>
      <c r="O794" s="2">
        <v>45383.916666666664</v>
      </c>
      <c r="P794" t="s">
        <v>42</v>
      </c>
      <c r="Q794" t="s">
        <v>29</v>
      </c>
      <c r="R794" t="s">
        <v>43</v>
      </c>
      <c r="S794">
        <v>9</v>
      </c>
      <c r="T794">
        <v>10</v>
      </c>
      <c r="U794" t="s">
        <v>48</v>
      </c>
      <c r="V794" t="str">
        <f t="shared" si="12"/>
        <v>Jun-2024</v>
      </c>
      <c r="W794" s="16">
        <f>Table1[[#This Row],[Consultation Date]] - Table1[[#This Row],[Appointment Date]]</f>
        <v>31.916666666664241</v>
      </c>
    </row>
    <row r="795" spans="1:23" x14ac:dyDescent="0.3">
      <c r="A795" t="s">
        <v>852</v>
      </c>
      <c r="B795">
        <v>67</v>
      </c>
      <c r="C795" t="s">
        <v>62</v>
      </c>
      <c r="D795" s="2">
        <v>45437</v>
      </c>
      <c r="E795" s="2">
        <v>45479</v>
      </c>
      <c r="F795">
        <v>13</v>
      </c>
      <c r="G795" t="s">
        <v>50</v>
      </c>
      <c r="H795">
        <v>2</v>
      </c>
      <c r="I795" t="s">
        <v>71</v>
      </c>
      <c r="J795">
        <v>29323</v>
      </c>
      <c r="K795" t="s">
        <v>36</v>
      </c>
      <c r="L795" t="s">
        <v>54</v>
      </c>
      <c r="M795" t="s">
        <v>27</v>
      </c>
      <c r="N795" s="2">
        <v>45435</v>
      </c>
      <c r="O795" s="2">
        <v>45436.541666666664</v>
      </c>
      <c r="P795" t="s">
        <v>55</v>
      </c>
      <c r="Q795" t="s">
        <v>29</v>
      </c>
      <c r="R795" t="s">
        <v>43</v>
      </c>
      <c r="S795">
        <v>6</v>
      </c>
      <c r="T795">
        <v>12</v>
      </c>
      <c r="U795" t="s">
        <v>48</v>
      </c>
      <c r="V795" t="str">
        <f t="shared" si="12"/>
        <v>May-2024</v>
      </c>
      <c r="W795" s="16">
        <f>Table1[[#This Row],[Consultation Date]] - Table1[[#This Row],[Appointment Date]]</f>
        <v>1.5416666666642413</v>
      </c>
    </row>
    <row r="796" spans="1:23" x14ac:dyDescent="0.3">
      <c r="A796" t="s">
        <v>853</v>
      </c>
      <c r="B796">
        <v>67</v>
      </c>
      <c r="C796" t="s">
        <v>22</v>
      </c>
      <c r="D796" s="2">
        <v>45379</v>
      </c>
      <c r="E796" s="2">
        <v>45326</v>
      </c>
      <c r="F796">
        <v>5</v>
      </c>
      <c r="G796" t="s">
        <v>40</v>
      </c>
      <c r="H796">
        <v>5</v>
      </c>
      <c r="I796" t="s">
        <v>66</v>
      </c>
      <c r="J796">
        <v>32610</v>
      </c>
      <c r="K796" t="s">
        <v>36</v>
      </c>
      <c r="L796" t="s">
        <v>54</v>
      </c>
      <c r="M796" t="s">
        <v>27</v>
      </c>
      <c r="N796" s="2">
        <v>45379</v>
      </c>
      <c r="O796" s="2">
        <v>45380.708333333336</v>
      </c>
      <c r="P796" t="s">
        <v>42</v>
      </c>
      <c r="Q796" t="s">
        <v>29</v>
      </c>
      <c r="R796" t="s">
        <v>30</v>
      </c>
      <c r="S796">
        <v>10</v>
      </c>
      <c r="T796">
        <v>8</v>
      </c>
      <c r="U796" t="s">
        <v>48</v>
      </c>
      <c r="V796" t="str">
        <f t="shared" si="12"/>
        <v>Mar-2024</v>
      </c>
      <c r="W796" s="16">
        <f>Table1[[#This Row],[Consultation Date]] - Table1[[#This Row],[Appointment Date]]</f>
        <v>1.7083333333357587</v>
      </c>
    </row>
    <row r="797" spans="1:23" x14ac:dyDescent="0.3">
      <c r="A797" t="s">
        <v>854</v>
      </c>
      <c r="B797">
        <v>27</v>
      </c>
      <c r="C797" t="s">
        <v>33</v>
      </c>
      <c r="D797" s="2">
        <v>44979</v>
      </c>
      <c r="E797" s="2">
        <v>44983</v>
      </c>
      <c r="F797">
        <v>4</v>
      </c>
      <c r="G797" t="s">
        <v>40</v>
      </c>
      <c r="H797">
        <v>3</v>
      </c>
      <c r="I797" t="s">
        <v>66</v>
      </c>
      <c r="J797">
        <v>11963</v>
      </c>
      <c r="K797" t="s">
        <v>60</v>
      </c>
      <c r="L797" t="s">
        <v>26</v>
      </c>
      <c r="M797" t="s">
        <v>41</v>
      </c>
      <c r="N797" s="2">
        <v>44975</v>
      </c>
      <c r="O797" s="2">
        <v>44975.208333333336</v>
      </c>
      <c r="P797" t="s">
        <v>42</v>
      </c>
      <c r="Q797" t="s">
        <v>29</v>
      </c>
      <c r="R797" t="s">
        <v>43</v>
      </c>
      <c r="S797">
        <v>6</v>
      </c>
      <c r="T797">
        <v>8</v>
      </c>
      <c r="U797" t="s">
        <v>48</v>
      </c>
      <c r="V797" t="str">
        <f t="shared" si="12"/>
        <v>Feb-2023</v>
      </c>
      <c r="W797" s="16">
        <f>Table1[[#This Row],[Consultation Date]] - Table1[[#This Row],[Appointment Date]]</f>
        <v>0.20833333333575865</v>
      </c>
    </row>
    <row r="798" spans="1:23" x14ac:dyDescent="0.3">
      <c r="A798" t="s">
        <v>855</v>
      </c>
      <c r="B798">
        <v>32</v>
      </c>
      <c r="C798" t="s">
        <v>41</v>
      </c>
      <c r="D798" s="2">
        <v>45135</v>
      </c>
      <c r="E798" s="2">
        <v>44965</v>
      </c>
      <c r="F798">
        <v>5</v>
      </c>
      <c r="G798" t="s">
        <v>40</v>
      </c>
      <c r="H798">
        <v>4</v>
      </c>
      <c r="I798" t="s">
        <v>46</v>
      </c>
      <c r="J798">
        <v>12838</v>
      </c>
      <c r="K798" t="s">
        <v>25</v>
      </c>
      <c r="L798" t="s">
        <v>26</v>
      </c>
      <c r="M798" t="s">
        <v>27</v>
      </c>
      <c r="N798" s="2">
        <v>45130</v>
      </c>
      <c r="O798" s="2">
        <v>45131.333333333336</v>
      </c>
      <c r="P798" t="s">
        <v>37</v>
      </c>
      <c r="Q798" t="s">
        <v>29</v>
      </c>
      <c r="R798" t="s">
        <v>47</v>
      </c>
      <c r="S798">
        <v>10</v>
      </c>
      <c r="T798">
        <v>12</v>
      </c>
      <c r="U798" t="s">
        <v>68</v>
      </c>
      <c r="V798" t="str">
        <f t="shared" si="12"/>
        <v>Jul-2023</v>
      </c>
      <c r="W798" s="16">
        <f>Table1[[#This Row],[Consultation Date]] - Table1[[#This Row],[Appointment Date]]</f>
        <v>1.3333333333357587</v>
      </c>
    </row>
    <row r="799" spans="1:23" x14ac:dyDescent="0.3">
      <c r="A799" t="s">
        <v>856</v>
      </c>
      <c r="B799">
        <v>50</v>
      </c>
      <c r="C799" t="s">
        <v>33</v>
      </c>
      <c r="D799" s="2">
        <v>44936</v>
      </c>
      <c r="E799" s="2">
        <v>44995</v>
      </c>
      <c r="F799">
        <v>2</v>
      </c>
      <c r="G799" t="s">
        <v>63</v>
      </c>
      <c r="H799">
        <v>2</v>
      </c>
      <c r="I799" t="s">
        <v>35</v>
      </c>
      <c r="J799">
        <v>17243</v>
      </c>
      <c r="K799" t="s">
        <v>53</v>
      </c>
      <c r="L799" t="s">
        <v>26</v>
      </c>
      <c r="M799" t="s">
        <v>27</v>
      </c>
      <c r="N799" s="2">
        <v>45199</v>
      </c>
      <c r="O799" s="2">
        <v>44936.25</v>
      </c>
      <c r="P799" t="s">
        <v>42</v>
      </c>
      <c r="Q799" t="s">
        <v>29</v>
      </c>
      <c r="R799" t="s">
        <v>30</v>
      </c>
      <c r="S799">
        <v>9</v>
      </c>
      <c r="T799">
        <v>10</v>
      </c>
      <c r="U799" t="s">
        <v>68</v>
      </c>
      <c r="V799" t="str">
        <f t="shared" si="12"/>
        <v>Jan-2023</v>
      </c>
      <c r="W799" s="16">
        <f>Table1[[#This Row],[Consultation Date]] - Table1[[#This Row],[Appointment Date]]</f>
        <v>-262.75</v>
      </c>
    </row>
    <row r="800" spans="1:23" x14ac:dyDescent="0.3">
      <c r="A800" t="s">
        <v>857</v>
      </c>
      <c r="B800">
        <v>61</v>
      </c>
      <c r="C800" t="s">
        <v>41</v>
      </c>
      <c r="D800" s="2">
        <v>45061</v>
      </c>
      <c r="E800" s="2">
        <v>45062</v>
      </c>
      <c r="F800">
        <v>1</v>
      </c>
      <c r="G800" t="s">
        <v>34</v>
      </c>
      <c r="H800">
        <v>1</v>
      </c>
      <c r="I800" t="s">
        <v>35</v>
      </c>
      <c r="J800">
        <v>32939</v>
      </c>
      <c r="K800" t="s">
        <v>53</v>
      </c>
      <c r="L800" t="s">
        <v>54</v>
      </c>
      <c r="M800" t="s">
        <v>41</v>
      </c>
      <c r="N800" s="2">
        <v>45061</v>
      </c>
      <c r="O800" s="2">
        <v>45062.375</v>
      </c>
      <c r="P800" t="s">
        <v>28</v>
      </c>
      <c r="Q800" t="s">
        <v>29</v>
      </c>
      <c r="R800" t="s">
        <v>47</v>
      </c>
      <c r="S800">
        <v>4</v>
      </c>
      <c r="T800">
        <v>10</v>
      </c>
      <c r="U800" t="s">
        <v>31</v>
      </c>
      <c r="V800" t="str">
        <f t="shared" si="12"/>
        <v>May-2023</v>
      </c>
      <c r="W800" s="16">
        <f>Table1[[#This Row],[Consultation Date]] - Table1[[#This Row],[Appointment Date]]</f>
        <v>1.375</v>
      </c>
    </row>
    <row r="801" spans="1:23" x14ac:dyDescent="0.3">
      <c r="A801" t="s">
        <v>858</v>
      </c>
      <c r="B801">
        <v>51</v>
      </c>
      <c r="C801" t="s">
        <v>33</v>
      </c>
      <c r="D801" s="2">
        <v>45221</v>
      </c>
      <c r="E801" s="2">
        <v>45225</v>
      </c>
      <c r="F801">
        <v>4</v>
      </c>
      <c r="G801" t="s">
        <v>40</v>
      </c>
      <c r="H801">
        <v>3</v>
      </c>
      <c r="I801" t="s">
        <v>24</v>
      </c>
      <c r="J801">
        <v>6845</v>
      </c>
      <c r="K801" t="s">
        <v>60</v>
      </c>
      <c r="L801" t="s">
        <v>26</v>
      </c>
      <c r="M801" t="s">
        <v>27</v>
      </c>
      <c r="N801" s="2">
        <v>45219</v>
      </c>
      <c r="O801" s="2">
        <v>45220</v>
      </c>
      <c r="P801" t="s">
        <v>64</v>
      </c>
      <c r="Q801" t="s">
        <v>29</v>
      </c>
      <c r="R801" t="s">
        <v>43</v>
      </c>
      <c r="S801">
        <v>9</v>
      </c>
      <c r="T801">
        <v>8</v>
      </c>
      <c r="U801" t="s">
        <v>68</v>
      </c>
      <c r="V801" t="str">
        <f t="shared" si="12"/>
        <v>Oct-2023</v>
      </c>
      <c r="W801" s="16">
        <f>Table1[[#This Row],[Consultation Date]] - Table1[[#This Row],[Appointment Date]]</f>
        <v>1</v>
      </c>
    </row>
    <row r="802" spans="1:23" x14ac:dyDescent="0.3">
      <c r="A802" t="s">
        <v>859</v>
      </c>
      <c r="B802">
        <v>19</v>
      </c>
      <c r="C802" t="s">
        <v>22</v>
      </c>
      <c r="D802" s="2">
        <v>45375</v>
      </c>
      <c r="E802" s="2">
        <v>45382</v>
      </c>
      <c r="F802">
        <v>7</v>
      </c>
      <c r="G802" t="s">
        <v>40</v>
      </c>
      <c r="H802">
        <v>2</v>
      </c>
      <c r="I802" t="s">
        <v>46</v>
      </c>
      <c r="J802">
        <v>21766</v>
      </c>
      <c r="K802" t="s">
        <v>60</v>
      </c>
      <c r="L802" t="s">
        <v>26</v>
      </c>
      <c r="M802" t="s">
        <v>27</v>
      </c>
      <c r="N802" s="2">
        <v>45372</v>
      </c>
      <c r="O802" s="2">
        <v>45372.166666666664</v>
      </c>
      <c r="P802" t="s">
        <v>37</v>
      </c>
      <c r="Q802" t="s">
        <v>29</v>
      </c>
      <c r="R802" t="s">
        <v>47</v>
      </c>
      <c r="S802">
        <v>11</v>
      </c>
      <c r="T802">
        <v>12</v>
      </c>
      <c r="U802" t="s">
        <v>31</v>
      </c>
      <c r="V802" t="str">
        <f t="shared" si="12"/>
        <v>Mar-2024</v>
      </c>
      <c r="W802" s="16">
        <f>Table1[[#This Row],[Consultation Date]] - Table1[[#This Row],[Appointment Date]]</f>
        <v>0.16666666666424135</v>
      </c>
    </row>
    <row r="803" spans="1:23" x14ac:dyDescent="0.3">
      <c r="A803" t="s">
        <v>860</v>
      </c>
      <c r="B803">
        <v>21</v>
      </c>
      <c r="C803" t="s">
        <v>41</v>
      </c>
      <c r="D803" s="2">
        <v>45601</v>
      </c>
      <c r="E803" s="2">
        <v>45434</v>
      </c>
      <c r="F803">
        <v>11</v>
      </c>
      <c r="G803" t="s">
        <v>23</v>
      </c>
      <c r="H803">
        <v>1</v>
      </c>
      <c r="I803" t="s">
        <v>71</v>
      </c>
      <c r="J803">
        <v>41880</v>
      </c>
      <c r="K803" t="s">
        <v>25</v>
      </c>
      <c r="L803" t="s">
        <v>26</v>
      </c>
      <c r="M803" t="s">
        <v>27</v>
      </c>
      <c r="N803" s="2">
        <v>45448</v>
      </c>
      <c r="O803" s="2">
        <v>45478.333333333336</v>
      </c>
      <c r="P803" t="s">
        <v>37</v>
      </c>
      <c r="Q803" t="s">
        <v>29</v>
      </c>
      <c r="R803" t="s">
        <v>47</v>
      </c>
      <c r="S803">
        <v>4</v>
      </c>
      <c r="T803">
        <v>12</v>
      </c>
      <c r="U803" t="s">
        <v>68</v>
      </c>
      <c r="V803" t="str">
        <f t="shared" si="12"/>
        <v>Nov-2024</v>
      </c>
      <c r="W803" s="16">
        <f>Table1[[#This Row],[Consultation Date]] - Table1[[#This Row],[Appointment Date]]</f>
        <v>30.333333333335759</v>
      </c>
    </row>
    <row r="804" spans="1:23" x14ac:dyDescent="0.3">
      <c r="A804" t="s">
        <v>861</v>
      </c>
      <c r="B804">
        <v>5</v>
      </c>
      <c r="C804" t="s">
        <v>41</v>
      </c>
      <c r="D804" s="2">
        <v>45051</v>
      </c>
      <c r="E804" s="2">
        <v>45064</v>
      </c>
      <c r="F804">
        <v>13</v>
      </c>
      <c r="G804" t="s">
        <v>50</v>
      </c>
      <c r="H804">
        <v>3</v>
      </c>
      <c r="I804" t="s">
        <v>46</v>
      </c>
      <c r="J804">
        <v>17780</v>
      </c>
      <c r="K804" t="s">
        <v>25</v>
      </c>
      <c r="L804" t="s">
        <v>54</v>
      </c>
      <c r="M804" t="s">
        <v>27</v>
      </c>
      <c r="N804" s="2">
        <v>44931</v>
      </c>
      <c r="O804" s="2">
        <v>44962.541666666664</v>
      </c>
      <c r="P804" t="s">
        <v>55</v>
      </c>
      <c r="Q804" t="s">
        <v>29</v>
      </c>
      <c r="R804" t="s">
        <v>43</v>
      </c>
      <c r="S804">
        <v>8</v>
      </c>
      <c r="T804">
        <v>8</v>
      </c>
      <c r="U804" t="s">
        <v>48</v>
      </c>
      <c r="V804" t="str">
        <f t="shared" si="12"/>
        <v>May-2023</v>
      </c>
      <c r="W804" s="16">
        <f>Table1[[#This Row],[Consultation Date]] - Table1[[#This Row],[Appointment Date]]</f>
        <v>31.541666666664241</v>
      </c>
    </row>
    <row r="805" spans="1:23" x14ac:dyDescent="0.3">
      <c r="A805" t="s">
        <v>862</v>
      </c>
      <c r="B805">
        <v>82</v>
      </c>
      <c r="C805" t="s">
        <v>45</v>
      </c>
      <c r="D805" s="2">
        <v>44956</v>
      </c>
      <c r="E805" s="2">
        <v>45171</v>
      </c>
      <c r="F805">
        <v>10</v>
      </c>
      <c r="G805" t="s">
        <v>23</v>
      </c>
      <c r="H805">
        <v>2</v>
      </c>
      <c r="I805" t="s">
        <v>24</v>
      </c>
      <c r="J805">
        <v>47856</v>
      </c>
      <c r="K805" t="s">
        <v>36</v>
      </c>
      <c r="L805" t="s">
        <v>54</v>
      </c>
      <c r="M805" t="s">
        <v>41</v>
      </c>
      <c r="N805" s="2">
        <v>44952</v>
      </c>
      <c r="O805" s="2">
        <v>44952.458333333336</v>
      </c>
      <c r="P805" t="s">
        <v>64</v>
      </c>
      <c r="Q805" t="s">
        <v>29</v>
      </c>
      <c r="R805" t="s">
        <v>43</v>
      </c>
      <c r="S805">
        <v>4</v>
      </c>
      <c r="T805">
        <v>12</v>
      </c>
      <c r="U805" t="s">
        <v>48</v>
      </c>
      <c r="V805" t="str">
        <f t="shared" si="12"/>
        <v>Jan-2023</v>
      </c>
      <c r="W805" s="16">
        <f>Table1[[#This Row],[Consultation Date]] - Table1[[#This Row],[Appointment Date]]</f>
        <v>0.45833333333575865</v>
      </c>
    </row>
    <row r="806" spans="1:23" x14ac:dyDescent="0.3">
      <c r="A806" t="s">
        <v>863</v>
      </c>
      <c r="B806">
        <v>42</v>
      </c>
      <c r="C806" t="s">
        <v>45</v>
      </c>
      <c r="D806" s="2">
        <v>44994</v>
      </c>
      <c r="E806" s="2">
        <v>45239</v>
      </c>
      <c r="F806">
        <v>8</v>
      </c>
      <c r="G806" t="s">
        <v>23</v>
      </c>
      <c r="H806">
        <v>2</v>
      </c>
      <c r="I806" t="s">
        <v>46</v>
      </c>
      <c r="J806">
        <v>6509</v>
      </c>
      <c r="K806" t="s">
        <v>67</v>
      </c>
      <c r="L806" t="s">
        <v>26</v>
      </c>
      <c r="M806" t="s">
        <v>27</v>
      </c>
      <c r="N806" s="2">
        <v>44994</v>
      </c>
      <c r="O806" s="2">
        <v>45025</v>
      </c>
      <c r="P806" t="s">
        <v>37</v>
      </c>
      <c r="Q806" t="s">
        <v>29</v>
      </c>
      <c r="R806" t="s">
        <v>30</v>
      </c>
      <c r="S806">
        <v>5</v>
      </c>
      <c r="T806">
        <v>8</v>
      </c>
      <c r="U806" t="s">
        <v>68</v>
      </c>
      <c r="V806" t="str">
        <f t="shared" si="12"/>
        <v>Mar-2023</v>
      </c>
      <c r="W806" s="16">
        <f>Table1[[#This Row],[Consultation Date]] - Table1[[#This Row],[Appointment Date]]</f>
        <v>31</v>
      </c>
    </row>
    <row r="807" spans="1:23" x14ac:dyDescent="0.3">
      <c r="A807" t="s">
        <v>864</v>
      </c>
      <c r="B807">
        <v>61</v>
      </c>
      <c r="C807" t="s">
        <v>52</v>
      </c>
      <c r="D807" s="2">
        <v>45266</v>
      </c>
      <c r="E807" s="2">
        <v>45091</v>
      </c>
      <c r="F807">
        <v>2</v>
      </c>
      <c r="G807" t="s">
        <v>50</v>
      </c>
      <c r="H807">
        <v>3</v>
      </c>
      <c r="I807" t="s">
        <v>46</v>
      </c>
      <c r="J807">
        <v>28957</v>
      </c>
      <c r="K807" t="s">
        <v>25</v>
      </c>
      <c r="L807" t="s">
        <v>54</v>
      </c>
      <c r="M807" t="s">
        <v>27</v>
      </c>
      <c r="N807" s="2">
        <v>45266</v>
      </c>
      <c r="O807" s="2">
        <v>45266.458333333336</v>
      </c>
      <c r="P807" t="s">
        <v>42</v>
      </c>
      <c r="Q807" t="s">
        <v>29</v>
      </c>
      <c r="R807" t="s">
        <v>30</v>
      </c>
      <c r="S807">
        <v>11</v>
      </c>
      <c r="T807">
        <v>10</v>
      </c>
      <c r="U807" t="s">
        <v>68</v>
      </c>
      <c r="V807" t="str">
        <f t="shared" si="12"/>
        <v>Dec-2023</v>
      </c>
      <c r="W807" s="16">
        <f>Table1[[#This Row],[Consultation Date]] - Table1[[#This Row],[Appointment Date]]</f>
        <v>0.45833333333575865</v>
      </c>
    </row>
    <row r="808" spans="1:23" x14ac:dyDescent="0.3">
      <c r="A808" t="s">
        <v>865</v>
      </c>
      <c r="B808">
        <v>22</v>
      </c>
      <c r="C808" t="s">
        <v>33</v>
      </c>
      <c r="D808" s="2">
        <v>45245</v>
      </c>
      <c r="E808" s="2">
        <v>45247</v>
      </c>
      <c r="F808">
        <v>2</v>
      </c>
      <c r="G808" t="s">
        <v>34</v>
      </c>
      <c r="H808">
        <v>2</v>
      </c>
      <c r="I808" t="s">
        <v>24</v>
      </c>
      <c r="J808">
        <v>39346</v>
      </c>
      <c r="K808" t="s">
        <v>60</v>
      </c>
      <c r="L808" t="s">
        <v>54</v>
      </c>
      <c r="M808" t="s">
        <v>27</v>
      </c>
      <c r="N808" s="2">
        <v>45244</v>
      </c>
      <c r="O808" s="2">
        <v>45244.708333333336</v>
      </c>
      <c r="P808" t="s">
        <v>37</v>
      </c>
      <c r="Q808" t="s">
        <v>29</v>
      </c>
      <c r="R808" t="s">
        <v>30</v>
      </c>
      <c r="S808">
        <v>5</v>
      </c>
      <c r="T808">
        <v>10</v>
      </c>
      <c r="U808" t="s">
        <v>31</v>
      </c>
      <c r="V808" t="str">
        <f t="shared" si="12"/>
        <v>Nov-2023</v>
      </c>
      <c r="W808" s="16">
        <f>Table1[[#This Row],[Consultation Date]] - Table1[[#This Row],[Appointment Date]]</f>
        <v>0.70833333333575865</v>
      </c>
    </row>
    <row r="809" spans="1:23" x14ac:dyDescent="0.3">
      <c r="A809" t="s">
        <v>866</v>
      </c>
      <c r="B809">
        <v>21</v>
      </c>
      <c r="C809" t="s">
        <v>45</v>
      </c>
      <c r="D809" s="2">
        <v>44941</v>
      </c>
      <c r="E809" s="2">
        <v>44955</v>
      </c>
      <c r="F809">
        <v>14</v>
      </c>
      <c r="G809" t="s">
        <v>23</v>
      </c>
      <c r="H809">
        <v>5</v>
      </c>
      <c r="I809" t="s">
        <v>35</v>
      </c>
      <c r="J809">
        <v>22263</v>
      </c>
      <c r="K809" t="s">
        <v>25</v>
      </c>
      <c r="L809" t="s">
        <v>26</v>
      </c>
      <c r="M809" t="s">
        <v>27</v>
      </c>
      <c r="N809" s="2">
        <v>45231</v>
      </c>
      <c r="O809" s="2">
        <v>45231.291666666664</v>
      </c>
      <c r="P809" t="s">
        <v>37</v>
      </c>
      <c r="Q809" t="s">
        <v>38</v>
      </c>
      <c r="R809" t="s">
        <v>43</v>
      </c>
      <c r="S809">
        <v>11</v>
      </c>
      <c r="T809">
        <v>12</v>
      </c>
      <c r="U809" t="s">
        <v>31</v>
      </c>
      <c r="V809" t="str">
        <f t="shared" si="12"/>
        <v>Jan-2023</v>
      </c>
      <c r="W809" s="16">
        <f>Table1[[#This Row],[Consultation Date]] - Table1[[#This Row],[Appointment Date]]</f>
        <v>0.29166666666424135</v>
      </c>
    </row>
    <row r="810" spans="1:23" x14ac:dyDescent="0.3">
      <c r="A810" t="s">
        <v>867</v>
      </c>
      <c r="B810">
        <v>70</v>
      </c>
      <c r="C810" t="s">
        <v>52</v>
      </c>
      <c r="D810" s="2">
        <v>45344</v>
      </c>
      <c r="E810" s="2">
        <v>45507</v>
      </c>
      <c r="F810">
        <v>15</v>
      </c>
      <c r="G810" t="s">
        <v>34</v>
      </c>
      <c r="H810">
        <v>3</v>
      </c>
      <c r="I810" t="s">
        <v>71</v>
      </c>
      <c r="J810">
        <v>31148</v>
      </c>
      <c r="K810" t="s">
        <v>53</v>
      </c>
      <c r="L810" t="s">
        <v>26</v>
      </c>
      <c r="M810" t="s">
        <v>41</v>
      </c>
      <c r="N810" s="2">
        <v>45339</v>
      </c>
      <c r="O810" s="2">
        <v>45340.541666666664</v>
      </c>
      <c r="P810" t="s">
        <v>37</v>
      </c>
      <c r="Q810" t="s">
        <v>29</v>
      </c>
      <c r="R810" t="s">
        <v>47</v>
      </c>
      <c r="S810">
        <v>9</v>
      </c>
      <c r="T810">
        <v>10</v>
      </c>
      <c r="U810" t="s">
        <v>31</v>
      </c>
      <c r="V810" t="str">
        <f t="shared" si="12"/>
        <v>Feb-2024</v>
      </c>
      <c r="W810" s="16">
        <f>Table1[[#This Row],[Consultation Date]] - Table1[[#This Row],[Appointment Date]]</f>
        <v>1.5416666666642413</v>
      </c>
    </row>
    <row r="811" spans="1:23" x14ac:dyDescent="0.3">
      <c r="A811" t="s">
        <v>868</v>
      </c>
      <c r="B811">
        <v>1</v>
      </c>
      <c r="C811" t="s">
        <v>45</v>
      </c>
      <c r="D811" s="2">
        <v>45081</v>
      </c>
      <c r="E811" s="2">
        <v>45030</v>
      </c>
      <c r="F811">
        <v>8</v>
      </c>
      <c r="G811" t="s">
        <v>23</v>
      </c>
      <c r="H811">
        <v>2</v>
      </c>
      <c r="I811" t="s">
        <v>24</v>
      </c>
      <c r="J811">
        <v>36533</v>
      </c>
      <c r="K811" t="s">
        <v>67</v>
      </c>
      <c r="L811" t="s">
        <v>26</v>
      </c>
      <c r="M811" t="s">
        <v>41</v>
      </c>
      <c r="N811" s="2">
        <v>44930</v>
      </c>
      <c r="O811" s="2">
        <v>44961.833333333336</v>
      </c>
      <c r="P811" t="s">
        <v>55</v>
      </c>
      <c r="Q811" t="s">
        <v>38</v>
      </c>
      <c r="R811" t="s">
        <v>47</v>
      </c>
      <c r="S811">
        <v>5</v>
      </c>
      <c r="T811">
        <v>10</v>
      </c>
      <c r="U811" t="s">
        <v>48</v>
      </c>
      <c r="V811" t="str">
        <f t="shared" si="12"/>
        <v>Jun-2023</v>
      </c>
      <c r="W811" s="16">
        <f>Table1[[#This Row],[Consultation Date]] - Table1[[#This Row],[Appointment Date]]</f>
        <v>31.833333333335759</v>
      </c>
    </row>
    <row r="812" spans="1:23" x14ac:dyDescent="0.3">
      <c r="A812" t="s">
        <v>869</v>
      </c>
      <c r="B812">
        <v>5</v>
      </c>
      <c r="C812" t="s">
        <v>33</v>
      </c>
      <c r="D812" s="2">
        <v>45157</v>
      </c>
      <c r="E812" s="2">
        <v>45167</v>
      </c>
      <c r="F812">
        <v>10</v>
      </c>
      <c r="G812" t="s">
        <v>57</v>
      </c>
      <c r="H812">
        <v>1</v>
      </c>
      <c r="I812" t="s">
        <v>66</v>
      </c>
      <c r="J812">
        <v>47608</v>
      </c>
      <c r="K812" t="s">
        <v>36</v>
      </c>
      <c r="L812" t="s">
        <v>26</v>
      </c>
      <c r="M812" t="s">
        <v>27</v>
      </c>
      <c r="N812" s="2">
        <v>45153</v>
      </c>
      <c r="O812" s="2">
        <v>45154.958333333336</v>
      </c>
      <c r="P812" t="s">
        <v>37</v>
      </c>
      <c r="Q812" t="s">
        <v>29</v>
      </c>
      <c r="R812" t="s">
        <v>30</v>
      </c>
      <c r="S812">
        <v>5</v>
      </c>
      <c r="T812">
        <v>8</v>
      </c>
      <c r="U812" t="s">
        <v>48</v>
      </c>
      <c r="V812" t="str">
        <f t="shared" si="12"/>
        <v>Aug-2023</v>
      </c>
      <c r="W812" s="16">
        <f>Table1[[#This Row],[Consultation Date]] - Table1[[#This Row],[Appointment Date]]</f>
        <v>1.9583333333357587</v>
      </c>
    </row>
    <row r="813" spans="1:23" x14ac:dyDescent="0.3">
      <c r="A813" t="s">
        <v>870</v>
      </c>
      <c r="B813">
        <v>12</v>
      </c>
      <c r="C813" t="s">
        <v>41</v>
      </c>
      <c r="D813" s="2">
        <v>45043</v>
      </c>
      <c r="E813" s="2">
        <v>45082</v>
      </c>
      <c r="F813">
        <v>9</v>
      </c>
      <c r="G813" t="s">
        <v>50</v>
      </c>
      <c r="H813">
        <v>1</v>
      </c>
      <c r="I813" t="s">
        <v>35</v>
      </c>
      <c r="J813">
        <v>17931</v>
      </c>
      <c r="K813" t="s">
        <v>53</v>
      </c>
      <c r="L813" t="s">
        <v>54</v>
      </c>
      <c r="M813" t="s">
        <v>27</v>
      </c>
      <c r="N813" s="2">
        <v>45042</v>
      </c>
      <c r="O813" s="2">
        <v>45042.333333333336</v>
      </c>
      <c r="P813" t="s">
        <v>37</v>
      </c>
      <c r="Q813" t="s">
        <v>29</v>
      </c>
      <c r="R813" t="s">
        <v>30</v>
      </c>
      <c r="S813">
        <v>8</v>
      </c>
      <c r="T813">
        <v>8</v>
      </c>
      <c r="U813" t="s">
        <v>48</v>
      </c>
      <c r="V813" t="str">
        <f t="shared" si="12"/>
        <v>Apr-2023</v>
      </c>
      <c r="W813" s="16">
        <f>Table1[[#This Row],[Consultation Date]] - Table1[[#This Row],[Appointment Date]]</f>
        <v>0.33333333333575865</v>
      </c>
    </row>
    <row r="814" spans="1:23" x14ac:dyDescent="0.3">
      <c r="A814" t="s">
        <v>871</v>
      </c>
      <c r="B814">
        <v>46</v>
      </c>
      <c r="C814" t="s">
        <v>62</v>
      </c>
      <c r="D814" s="2">
        <v>45399</v>
      </c>
      <c r="E814" s="2">
        <v>45400</v>
      </c>
      <c r="F814">
        <v>1</v>
      </c>
      <c r="G814" t="s">
        <v>23</v>
      </c>
      <c r="H814">
        <v>5</v>
      </c>
      <c r="I814" t="s">
        <v>66</v>
      </c>
      <c r="J814">
        <v>6359</v>
      </c>
      <c r="K814" t="s">
        <v>53</v>
      </c>
      <c r="L814" t="s">
        <v>54</v>
      </c>
      <c r="M814" t="s">
        <v>27</v>
      </c>
      <c r="N814" s="2">
        <v>45396</v>
      </c>
      <c r="O814" s="2">
        <v>45396.625</v>
      </c>
      <c r="P814" t="s">
        <v>55</v>
      </c>
      <c r="Q814" t="s">
        <v>29</v>
      </c>
      <c r="R814" t="s">
        <v>43</v>
      </c>
      <c r="S814">
        <v>5</v>
      </c>
      <c r="T814">
        <v>12</v>
      </c>
      <c r="U814" t="s">
        <v>48</v>
      </c>
      <c r="V814" t="str">
        <f t="shared" si="12"/>
        <v>Apr-2024</v>
      </c>
      <c r="W814" s="16">
        <f>Table1[[#This Row],[Consultation Date]] - Table1[[#This Row],[Appointment Date]]</f>
        <v>0.625</v>
      </c>
    </row>
    <row r="815" spans="1:23" x14ac:dyDescent="0.3">
      <c r="A815" t="s">
        <v>872</v>
      </c>
      <c r="B815">
        <v>34</v>
      </c>
      <c r="C815" t="s">
        <v>33</v>
      </c>
      <c r="D815" s="2">
        <v>44931</v>
      </c>
      <c r="E815" s="2">
        <v>45265</v>
      </c>
      <c r="F815">
        <v>11</v>
      </c>
      <c r="G815" t="s">
        <v>57</v>
      </c>
      <c r="H815">
        <v>3</v>
      </c>
      <c r="I815" t="s">
        <v>35</v>
      </c>
      <c r="J815">
        <v>29532</v>
      </c>
      <c r="K815" t="s">
        <v>67</v>
      </c>
      <c r="L815" t="s">
        <v>54</v>
      </c>
      <c r="M815" t="s">
        <v>41</v>
      </c>
      <c r="N815" s="2">
        <v>45046</v>
      </c>
      <c r="O815" s="2">
        <v>44962</v>
      </c>
      <c r="P815" t="s">
        <v>64</v>
      </c>
      <c r="Q815" t="s">
        <v>29</v>
      </c>
      <c r="R815" t="s">
        <v>47</v>
      </c>
      <c r="S815">
        <v>7</v>
      </c>
      <c r="T815">
        <v>8</v>
      </c>
      <c r="U815" t="s">
        <v>31</v>
      </c>
      <c r="V815" t="str">
        <f t="shared" si="12"/>
        <v>Jan-2023</v>
      </c>
      <c r="W815" s="16">
        <f>Table1[[#This Row],[Consultation Date]] - Table1[[#This Row],[Appointment Date]]</f>
        <v>-84</v>
      </c>
    </row>
    <row r="816" spans="1:23" x14ac:dyDescent="0.3">
      <c r="A816" t="s">
        <v>873</v>
      </c>
      <c r="B816">
        <v>49</v>
      </c>
      <c r="C816" t="s">
        <v>22</v>
      </c>
      <c r="D816" s="2">
        <v>45113</v>
      </c>
      <c r="E816" s="2">
        <v>45093</v>
      </c>
      <c r="F816">
        <v>9</v>
      </c>
      <c r="G816" t="s">
        <v>63</v>
      </c>
      <c r="H816">
        <v>2</v>
      </c>
      <c r="I816" t="s">
        <v>71</v>
      </c>
      <c r="J816">
        <v>25344</v>
      </c>
      <c r="K816" t="s">
        <v>36</v>
      </c>
      <c r="L816" t="s">
        <v>54</v>
      </c>
      <c r="M816" t="s">
        <v>27</v>
      </c>
      <c r="N816" s="2">
        <v>45052</v>
      </c>
      <c r="O816" s="2">
        <v>45083.375</v>
      </c>
      <c r="P816" t="s">
        <v>28</v>
      </c>
      <c r="Q816" t="s">
        <v>29</v>
      </c>
      <c r="R816" t="s">
        <v>30</v>
      </c>
      <c r="S816">
        <v>7</v>
      </c>
      <c r="T816">
        <v>12</v>
      </c>
      <c r="U816" t="s">
        <v>48</v>
      </c>
      <c r="V816" t="str">
        <f t="shared" si="12"/>
        <v>Jul-2023</v>
      </c>
      <c r="W816" s="16">
        <f>Table1[[#This Row],[Consultation Date]] - Table1[[#This Row],[Appointment Date]]</f>
        <v>31.375</v>
      </c>
    </row>
    <row r="817" spans="1:23" x14ac:dyDescent="0.3">
      <c r="A817" t="s">
        <v>874</v>
      </c>
      <c r="B817">
        <v>78</v>
      </c>
      <c r="C817" t="s">
        <v>45</v>
      </c>
      <c r="D817" s="2">
        <v>45437</v>
      </c>
      <c r="E817" s="2">
        <v>45388</v>
      </c>
      <c r="F817">
        <v>10</v>
      </c>
      <c r="G817" t="s">
        <v>57</v>
      </c>
      <c r="H817">
        <v>2</v>
      </c>
      <c r="I817" t="s">
        <v>71</v>
      </c>
      <c r="J817">
        <v>9242</v>
      </c>
      <c r="K817" t="s">
        <v>60</v>
      </c>
      <c r="L817" t="s">
        <v>54</v>
      </c>
      <c r="M817" t="s">
        <v>27</v>
      </c>
      <c r="N817" s="2">
        <v>45435</v>
      </c>
      <c r="O817" s="2">
        <v>45435.041666666664</v>
      </c>
      <c r="P817" t="s">
        <v>55</v>
      </c>
      <c r="Q817" t="s">
        <v>29</v>
      </c>
      <c r="R817" t="s">
        <v>43</v>
      </c>
      <c r="S817">
        <v>7</v>
      </c>
      <c r="T817">
        <v>12</v>
      </c>
      <c r="U817" t="s">
        <v>48</v>
      </c>
      <c r="V817" t="str">
        <f t="shared" si="12"/>
        <v>May-2024</v>
      </c>
      <c r="W817" s="16">
        <f>Table1[[#This Row],[Consultation Date]] - Table1[[#This Row],[Appointment Date]]</f>
        <v>4.1666666664241347E-2</v>
      </c>
    </row>
    <row r="818" spans="1:23" x14ac:dyDescent="0.3">
      <c r="A818" t="s">
        <v>875</v>
      </c>
      <c r="B818">
        <v>45</v>
      </c>
      <c r="C818" t="s">
        <v>45</v>
      </c>
      <c r="D818" s="2">
        <v>45225</v>
      </c>
      <c r="E818" s="2">
        <v>45229</v>
      </c>
      <c r="F818">
        <v>4</v>
      </c>
      <c r="G818" t="s">
        <v>40</v>
      </c>
      <c r="H818">
        <v>1</v>
      </c>
      <c r="I818" t="s">
        <v>46</v>
      </c>
      <c r="J818">
        <v>25601</v>
      </c>
      <c r="K818" t="s">
        <v>36</v>
      </c>
      <c r="L818" t="s">
        <v>54</v>
      </c>
      <c r="M818" t="s">
        <v>27</v>
      </c>
      <c r="N818" s="2">
        <v>45225</v>
      </c>
      <c r="O818" s="2">
        <v>45225.125</v>
      </c>
      <c r="P818" t="s">
        <v>55</v>
      </c>
      <c r="Q818" t="s">
        <v>29</v>
      </c>
      <c r="R818" t="s">
        <v>30</v>
      </c>
      <c r="S818">
        <v>4</v>
      </c>
      <c r="T818">
        <v>8</v>
      </c>
      <c r="U818" t="s">
        <v>48</v>
      </c>
      <c r="V818" t="str">
        <f t="shared" si="12"/>
        <v>Oct-2023</v>
      </c>
      <c r="W818" s="16">
        <f>Table1[[#This Row],[Consultation Date]] - Table1[[#This Row],[Appointment Date]]</f>
        <v>0.125</v>
      </c>
    </row>
    <row r="819" spans="1:23" x14ac:dyDescent="0.3">
      <c r="A819" t="s">
        <v>876</v>
      </c>
      <c r="B819">
        <v>27</v>
      </c>
      <c r="C819" t="s">
        <v>41</v>
      </c>
      <c r="D819" s="2">
        <v>45418</v>
      </c>
      <c r="E819" s="2">
        <v>45460</v>
      </c>
      <c r="F819">
        <v>12</v>
      </c>
      <c r="G819" t="s">
        <v>23</v>
      </c>
      <c r="H819">
        <v>5</v>
      </c>
      <c r="I819" t="s">
        <v>66</v>
      </c>
      <c r="J819">
        <v>24116</v>
      </c>
      <c r="K819" t="s">
        <v>25</v>
      </c>
      <c r="L819" t="s">
        <v>54</v>
      </c>
      <c r="M819" t="s">
        <v>41</v>
      </c>
      <c r="N819" s="2">
        <v>45388</v>
      </c>
      <c r="O819" s="2">
        <v>45388.041666666664</v>
      </c>
      <c r="P819" t="s">
        <v>37</v>
      </c>
      <c r="Q819" t="s">
        <v>29</v>
      </c>
      <c r="R819" t="s">
        <v>43</v>
      </c>
      <c r="S819">
        <v>9</v>
      </c>
      <c r="T819">
        <v>10</v>
      </c>
      <c r="U819" t="s">
        <v>48</v>
      </c>
      <c r="V819" t="str">
        <f t="shared" si="12"/>
        <v>May-2024</v>
      </c>
      <c r="W819" s="16">
        <f>Table1[[#This Row],[Consultation Date]] - Table1[[#This Row],[Appointment Date]]</f>
        <v>4.1666666664241347E-2</v>
      </c>
    </row>
    <row r="820" spans="1:23" x14ac:dyDescent="0.3">
      <c r="A820" t="s">
        <v>877</v>
      </c>
      <c r="B820">
        <v>73</v>
      </c>
      <c r="C820" t="s">
        <v>22</v>
      </c>
      <c r="D820" s="2">
        <v>45117</v>
      </c>
      <c r="E820" s="2">
        <v>45209</v>
      </c>
      <c r="F820">
        <v>3</v>
      </c>
      <c r="G820" t="s">
        <v>57</v>
      </c>
      <c r="H820">
        <v>1</v>
      </c>
      <c r="I820" t="s">
        <v>35</v>
      </c>
      <c r="J820">
        <v>40477</v>
      </c>
      <c r="K820" t="s">
        <v>53</v>
      </c>
      <c r="L820" t="s">
        <v>26</v>
      </c>
      <c r="M820" t="s">
        <v>27</v>
      </c>
      <c r="N820" s="2">
        <v>45087</v>
      </c>
      <c r="O820" s="2">
        <v>45087.666666666664</v>
      </c>
      <c r="P820" t="s">
        <v>37</v>
      </c>
      <c r="Q820" t="s">
        <v>29</v>
      </c>
      <c r="R820" t="s">
        <v>47</v>
      </c>
      <c r="S820">
        <v>9</v>
      </c>
      <c r="T820">
        <v>10</v>
      </c>
      <c r="U820" t="s">
        <v>68</v>
      </c>
      <c r="V820" t="str">
        <f t="shared" si="12"/>
        <v>Jul-2023</v>
      </c>
      <c r="W820" s="16">
        <f>Table1[[#This Row],[Consultation Date]] - Table1[[#This Row],[Appointment Date]]</f>
        <v>0.66666666666424135</v>
      </c>
    </row>
    <row r="821" spans="1:23" x14ac:dyDescent="0.3">
      <c r="A821" t="s">
        <v>878</v>
      </c>
      <c r="B821">
        <v>26</v>
      </c>
      <c r="C821" t="s">
        <v>41</v>
      </c>
      <c r="D821" s="2">
        <v>45294</v>
      </c>
      <c r="E821" s="2">
        <v>45446</v>
      </c>
      <c r="F821">
        <v>5</v>
      </c>
      <c r="G821" t="s">
        <v>34</v>
      </c>
      <c r="H821">
        <v>1</v>
      </c>
      <c r="I821" t="s">
        <v>71</v>
      </c>
      <c r="J821">
        <v>35782</v>
      </c>
      <c r="K821" t="s">
        <v>25</v>
      </c>
      <c r="L821" t="s">
        <v>26</v>
      </c>
      <c r="M821" t="s">
        <v>27</v>
      </c>
      <c r="N821" s="2">
        <v>45347</v>
      </c>
      <c r="O821" s="2">
        <v>45347.125</v>
      </c>
      <c r="P821" t="s">
        <v>28</v>
      </c>
      <c r="Q821" t="s">
        <v>29</v>
      </c>
      <c r="R821" t="s">
        <v>43</v>
      </c>
      <c r="S821">
        <v>6</v>
      </c>
      <c r="T821">
        <v>10</v>
      </c>
      <c r="U821" t="s">
        <v>31</v>
      </c>
      <c r="V821" t="str">
        <f t="shared" si="12"/>
        <v>Jan-2024</v>
      </c>
      <c r="W821" s="16">
        <f>Table1[[#This Row],[Consultation Date]] - Table1[[#This Row],[Appointment Date]]</f>
        <v>0.125</v>
      </c>
    </row>
    <row r="822" spans="1:23" x14ac:dyDescent="0.3">
      <c r="A822" t="s">
        <v>879</v>
      </c>
      <c r="B822">
        <v>47</v>
      </c>
      <c r="C822" t="s">
        <v>22</v>
      </c>
      <c r="D822" s="2">
        <v>45540</v>
      </c>
      <c r="E822" s="2">
        <v>45428</v>
      </c>
      <c r="F822">
        <v>7</v>
      </c>
      <c r="G822" t="s">
        <v>63</v>
      </c>
      <c r="H822">
        <v>5</v>
      </c>
      <c r="I822" t="s">
        <v>24</v>
      </c>
      <c r="J822">
        <v>23880</v>
      </c>
      <c r="K822" t="s">
        <v>60</v>
      </c>
      <c r="L822" t="s">
        <v>26</v>
      </c>
      <c r="M822" t="s">
        <v>27</v>
      </c>
      <c r="N822" s="2">
        <v>45540</v>
      </c>
      <c r="O822" s="2">
        <v>45570.291666666664</v>
      </c>
      <c r="P822" t="s">
        <v>37</v>
      </c>
      <c r="Q822" t="s">
        <v>29</v>
      </c>
      <c r="R822" t="s">
        <v>30</v>
      </c>
      <c r="S822">
        <v>8</v>
      </c>
      <c r="T822">
        <v>10</v>
      </c>
      <c r="U822" t="s">
        <v>31</v>
      </c>
      <c r="V822" t="str">
        <f t="shared" si="12"/>
        <v>Sep-2024</v>
      </c>
      <c r="W822" s="16">
        <f>Table1[[#This Row],[Consultation Date]] - Table1[[#This Row],[Appointment Date]]</f>
        <v>30.291666666664241</v>
      </c>
    </row>
    <row r="823" spans="1:23" x14ac:dyDescent="0.3">
      <c r="A823" t="s">
        <v>880</v>
      </c>
      <c r="B823">
        <v>86</v>
      </c>
      <c r="C823" t="s">
        <v>62</v>
      </c>
      <c r="D823" s="2">
        <v>45410</v>
      </c>
      <c r="E823" s="2">
        <v>45411</v>
      </c>
      <c r="F823">
        <v>1</v>
      </c>
      <c r="G823" t="s">
        <v>23</v>
      </c>
      <c r="H823">
        <v>3</v>
      </c>
      <c r="I823" t="s">
        <v>71</v>
      </c>
      <c r="J823">
        <v>8499</v>
      </c>
      <c r="K823" t="s">
        <v>25</v>
      </c>
      <c r="L823" t="s">
        <v>26</v>
      </c>
      <c r="M823" t="s">
        <v>27</v>
      </c>
      <c r="N823" s="2">
        <v>45405</v>
      </c>
      <c r="O823" s="2">
        <v>45406</v>
      </c>
      <c r="P823" t="s">
        <v>42</v>
      </c>
      <c r="Q823" t="s">
        <v>29</v>
      </c>
      <c r="R823" t="s">
        <v>30</v>
      </c>
      <c r="S823">
        <v>7</v>
      </c>
      <c r="T823">
        <v>12</v>
      </c>
      <c r="U823" t="s">
        <v>48</v>
      </c>
      <c r="V823" t="str">
        <f t="shared" si="12"/>
        <v>Apr-2024</v>
      </c>
      <c r="W823" s="16">
        <f>Table1[[#This Row],[Consultation Date]] - Table1[[#This Row],[Appointment Date]]</f>
        <v>1</v>
      </c>
    </row>
    <row r="824" spans="1:23" x14ac:dyDescent="0.3">
      <c r="A824" t="s">
        <v>881</v>
      </c>
      <c r="B824">
        <v>56</v>
      </c>
      <c r="C824" t="s">
        <v>45</v>
      </c>
      <c r="D824" s="2">
        <v>45116</v>
      </c>
      <c r="E824" s="2">
        <v>45186</v>
      </c>
      <c r="F824">
        <v>10</v>
      </c>
      <c r="G824" t="s">
        <v>40</v>
      </c>
      <c r="H824">
        <v>2</v>
      </c>
      <c r="I824" t="s">
        <v>24</v>
      </c>
      <c r="J824">
        <v>36587</v>
      </c>
      <c r="K824" t="s">
        <v>36</v>
      </c>
      <c r="L824" t="s">
        <v>54</v>
      </c>
      <c r="M824" t="s">
        <v>27</v>
      </c>
      <c r="N824" s="2">
        <v>45025</v>
      </c>
      <c r="O824" s="2">
        <v>45055.041666666664</v>
      </c>
      <c r="P824" t="s">
        <v>37</v>
      </c>
      <c r="Q824" t="s">
        <v>29</v>
      </c>
      <c r="R824" t="s">
        <v>47</v>
      </c>
      <c r="S824">
        <v>7</v>
      </c>
      <c r="T824">
        <v>10</v>
      </c>
      <c r="U824" t="s">
        <v>68</v>
      </c>
      <c r="V824" t="str">
        <f t="shared" si="12"/>
        <v>Jul-2023</v>
      </c>
      <c r="W824" s="16">
        <f>Table1[[#This Row],[Consultation Date]] - Table1[[#This Row],[Appointment Date]]</f>
        <v>30.041666666664241</v>
      </c>
    </row>
    <row r="825" spans="1:23" x14ac:dyDescent="0.3">
      <c r="A825" t="s">
        <v>882</v>
      </c>
      <c r="B825">
        <v>63</v>
      </c>
      <c r="C825" t="s">
        <v>45</v>
      </c>
      <c r="D825" s="2">
        <v>45630</v>
      </c>
      <c r="E825" s="2">
        <v>45400</v>
      </c>
      <c r="F825">
        <v>6</v>
      </c>
      <c r="G825" t="s">
        <v>57</v>
      </c>
      <c r="H825">
        <v>3</v>
      </c>
      <c r="I825" t="s">
        <v>35</v>
      </c>
      <c r="J825">
        <v>49458</v>
      </c>
      <c r="K825" t="s">
        <v>25</v>
      </c>
      <c r="L825" t="s">
        <v>26</v>
      </c>
      <c r="M825" t="s">
        <v>27</v>
      </c>
      <c r="N825" s="2">
        <v>45600</v>
      </c>
      <c r="O825" s="2">
        <v>45600.416666666664</v>
      </c>
      <c r="P825" t="s">
        <v>37</v>
      </c>
      <c r="Q825" t="s">
        <v>29</v>
      </c>
      <c r="R825" t="s">
        <v>47</v>
      </c>
      <c r="S825">
        <v>5</v>
      </c>
      <c r="T825">
        <v>12</v>
      </c>
      <c r="U825" t="s">
        <v>31</v>
      </c>
      <c r="V825" t="str">
        <f t="shared" si="12"/>
        <v>Dec-2024</v>
      </c>
      <c r="W825" s="16">
        <f>Table1[[#This Row],[Consultation Date]] - Table1[[#This Row],[Appointment Date]]</f>
        <v>0.41666666666424135</v>
      </c>
    </row>
    <row r="826" spans="1:23" x14ac:dyDescent="0.3">
      <c r="A826" t="s">
        <v>883</v>
      </c>
      <c r="B826">
        <v>48</v>
      </c>
      <c r="C826" t="s">
        <v>62</v>
      </c>
      <c r="D826" s="2">
        <v>45075</v>
      </c>
      <c r="E826" s="2">
        <v>44963</v>
      </c>
      <c r="F826">
        <v>4</v>
      </c>
      <c r="G826" t="s">
        <v>63</v>
      </c>
      <c r="H826">
        <v>4</v>
      </c>
      <c r="I826" t="s">
        <v>71</v>
      </c>
      <c r="J826">
        <v>31020</v>
      </c>
      <c r="K826" t="s">
        <v>60</v>
      </c>
      <c r="L826" t="s">
        <v>54</v>
      </c>
      <c r="M826" t="s">
        <v>27</v>
      </c>
      <c r="N826" s="2">
        <v>45070</v>
      </c>
      <c r="O826" s="2">
        <v>45070.5</v>
      </c>
      <c r="P826" t="s">
        <v>42</v>
      </c>
      <c r="Q826" t="s">
        <v>29</v>
      </c>
      <c r="R826" t="s">
        <v>30</v>
      </c>
      <c r="S826">
        <v>7</v>
      </c>
      <c r="T826">
        <v>8</v>
      </c>
      <c r="U826" t="s">
        <v>31</v>
      </c>
      <c r="V826" t="str">
        <f t="shared" si="12"/>
        <v>May-2023</v>
      </c>
      <c r="W826" s="16">
        <f>Table1[[#This Row],[Consultation Date]] - Table1[[#This Row],[Appointment Date]]</f>
        <v>0.5</v>
      </c>
    </row>
    <row r="827" spans="1:23" x14ac:dyDescent="0.3">
      <c r="A827" t="s">
        <v>884</v>
      </c>
      <c r="B827">
        <v>61</v>
      </c>
      <c r="C827" t="s">
        <v>52</v>
      </c>
      <c r="D827" s="2">
        <v>45319</v>
      </c>
      <c r="E827" s="2">
        <v>45475</v>
      </c>
      <c r="F827">
        <v>10</v>
      </c>
      <c r="G827" t="s">
        <v>23</v>
      </c>
      <c r="H827">
        <v>4</v>
      </c>
      <c r="I827" t="s">
        <v>71</v>
      </c>
      <c r="J827">
        <v>13080</v>
      </c>
      <c r="K827" t="s">
        <v>60</v>
      </c>
      <c r="L827" t="s">
        <v>26</v>
      </c>
      <c r="M827" t="s">
        <v>41</v>
      </c>
      <c r="N827" s="2">
        <v>45315</v>
      </c>
      <c r="O827" s="2">
        <v>45315.125</v>
      </c>
      <c r="P827" t="s">
        <v>28</v>
      </c>
      <c r="Q827" t="s">
        <v>29</v>
      </c>
      <c r="R827" t="s">
        <v>30</v>
      </c>
      <c r="S827">
        <v>5</v>
      </c>
      <c r="T827">
        <v>8</v>
      </c>
      <c r="U827" t="s">
        <v>48</v>
      </c>
      <c r="V827" t="str">
        <f t="shared" si="12"/>
        <v>Jan-2024</v>
      </c>
      <c r="W827" s="16">
        <f>Table1[[#This Row],[Consultation Date]] - Table1[[#This Row],[Appointment Date]]</f>
        <v>0.125</v>
      </c>
    </row>
    <row r="828" spans="1:23" x14ac:dyDescent="0.3">
      <c r="A828" t="s">
        <v>885</v>
      </c>
      <c r="B828">
        <v>81</v>
      </c>
      <c r="C828" t="s">
        <v>41</v>
      </c>
      <c r="D828" s="2">
        <v>45122</v>
      </c>
      <c r="E828" s="2">
        <v>45129</v>
      </c>
      <c r="F828">
        <v>7</v>
      </c>
      <c r="G828" t="s">
        <v>63</v>
      </c>
      <c r="H828">
        <v>4</v>
      </c>
      <c r="I828" t="s">
        <v>35</v>
      </c>
      <c r="J828">
        <v>28207</v>
      </c>
      <c r="K828" t="s">
        <v>60</v>
      </c>
      <c r="L828" t="s">
        <v>26</v>
      </c>
      <c r="M828" t="s">
        <v>27</v>
      </c>
      <c r="N828" s="2">
        <v>45206</v>
      </c>
      <c r="O828" s="2">
        <v>45237.5</v>
      </c>
      <c r="P828" t="s">
        <v>42</v>
      </c>
      <c r="Q828" t="s">
        <v>29</v>
      </c>
      <c r="R828" t="s">
        <v>30</v>
      </c>
      <c r="S828">
        <v>5</v>
      </c>
      <c r="T828">
        <v>12</v>
      </c>
      <c r="U828" t="s">
        <v>48</v>
      </c>
      <c r="V828" t="str">
        <f t="shared" si="12"/>
        <v>Jul-2023</v>
      </c>
      <c r="W828" s="16">
        <f>Table1[[#This Row],[Consultation Date]] - Table1[[#This Row],[Appointment Date]]</f>
        <v>31.5</v>
      </c>
    </row>
    <row r="829" spans="1:23" x14ac:dyDescent="0.3">
      <c r="A829" t="s">
        <v>886</v>
      </c>
      <c r="B829">
        <v>26</v>
      </c>
      <c r="C829" t="s">
        <v>62</v>
      </c>
      <c r="D829" s="2">
        <v>45388</v>
      </c>
      <c r="E829" s="2">
        <v>45479</v>
      </c>
      <c r="F829">
        <v>3</v>
      </c>
      <c r="G829" t="s">
        <v>40</v>
      </c>
      <c r="H829">
        <v>5</v>
      </c>
      <c r="I829" t="s">
        <v>71</v>
      </c>
      <c r="J829">
        <v>38957</v>
      </c>
      <c r="K829" t="s">
        <v>36</v>
      </c>
      <c r="L829" t="s">
        <v>26</v>
      </c>
      <c r="M829" t="s">
        <v>41</v>
      </c>
      <c r="N829" s="2">
        <v>45357</v>
      </c>
      <c r="O829" s="2">
        <v>45388.916666666664</v>
      </c>
      <c r="P829" t="s">
        <v>55</v>
      </c>
      <c r="Q829" t="s">
        <v>29</v>
      </c>
      <c r="R829" t="s">
        <v>47</v>
      </c>
      <c r="S829">
        <v>6</v>
      </c>
      <c r="T829">
        <v>10</v>
      </c>
      <c r="U829" t="s">
        <v>31</v>
      </c>
      <c r="V829" t="str">
        <f t="shared" si="12"/>
        <v>Apr-2024</v>
      </c>
      <c r="W829" s="16">
        <f>Table1[[#This Row],[Consultation Date]] - Table1[[#This Row],[Appointment Date]]</f>
        <v>31.916666666664241</v>
      </c>
    </row>
    <row r="830" spans="1:23" x14ac:dyDescent="0.3">
      <c r="A830" t="s">
        <v>887</v>
      </c>
      <c r="B830">
        <v>36</v>
      </c>
      <c r="C830" t="s">
        <v>41</v>
      </c>
      <c r="D830" s="2">
        <v>45066</v>
      </c>
      <c r="E830" s="2">
        <v>45077</v>
      </c>
      <c r="F830">
        <v>11</v>
      </c>
      <c r="G830" t="s">
        <v>57</v>
      </c>
      <c r="H830">
        <v>1</v>
      </c>
      <c r="I830" t="s">
        <v>24</v>
      </c>
      <c r="J830">
        <v>18908</v>
      </c>
      <c r="K830" t="s">
        <v>60</v>
      </c>
      <c r="L830" t="s">
        <v>54</v>
      </c>
      <c r="M830" t="s">
        <v>27</v>
      </c>
      <c r="N830" s="2">
        <v>45063</v>
      </c>
      <c r="O830" s="2">
        <v>45065</v>
      </c>
      <c r="P830" t="s">
        <v>42</v>
      </c>
      <c r="Q830" t="s">
        <v>29</v>
      </c>
      <c r="R830" t="s">
        <v>30</v>
      </c>
      <c r="S830">
        <v>4</v>
      </c>
      <c r="T830">
        <v>12</v>
      </c>
      <c r="U830" t="s">
        <v>31</v>
      </c>
      <c r="V830" t="str">
        <f t="shared" si="12"/>
        <v>May-2023</v>
      </c>
      <c r="W830" s="16">
        <f>Table1[[#This Row],[Consultation Date]] - Table1[[#This Row],[Appointment Date]]</f>
        <v>2</v>
      </c>
    </row>
    <row r="831" spans="1:23" x14ac:dyDescent="0.3">
      <c r="A831" t="s">
        <v>888</v>
      </c>
      <c r="B831">
        <v>1</v>
      </c>
      <c r="C831" t="s">
        <v>33</v>
      </c>
      <c r="D831" s="2">
        <v>44998</v>
      </c>
      <c r="E831" s="2">
        <v>45009</v>
      </c>
      <c r="F831">
        <v>11</v>
      </c>
      <c r="G831" t="s">
        <v>63</v>
      </c>
      <c r="H831">
        <v>3</v>
      </c>
      <c r="I831" t="s">
        <v>71</v>
      </c>
      <c r="J831">
        <v>35652</v>
      </c>
      <c r="K831" t="s">
        <v>53</v>
      </c>
      <c r="L831" t="s">
        <v>54</v>
      </c>
      <c r="M831" t="s">
        <v>27</v>
      </c>
      <c r="N831" s="2">
        <v>45263</v>
      </c>
      <c r="O831" s="2">
        <v>44998.75</v>
      </c>
      <c r="P831" t="s">
        <v>64</v>
      </c>
      <c r="Q831" t="s">
        <v>29</v>
      </c>
      <c r="R831" t="s">
        <v>47</v>
      </c>
      <c r="S831">
        <v>5</v>
      </c>
      <c r="T831">
        <v>10</v>
      </c>
      <c r="U831" t="s">
        <v>68</v>
      </c>
      <c r="V831" t="str">
        <f t="shared" si="12"/>
        <v>Mar-2023</v>
      </c>
      <c r="W831" s="16">
        <f>Table1[[#This Row],[Consultation Date]] - Table1[[#This Row],[Appointment Date]]</f>
        <v>-264.25</v>
      </c>
    </row>
    <row r="832" spans="1:23" x14ac:dyDescent="0.3">
      <c r="A832" t="s">
        <v>889</v>
      </c>
      <c r="B832">
        <v>8</v>
      </c>
      <c r="C832" t="s">
        <v>45</v>
      </c>
      <c r="D832" s="2">
        <v>45209</v>
      </c>
      <c r="E832" s="2">
        <v>45270</v>
      </c>
      <c r="F832">
        <v>2</v>
      </c>
      <c r="G832" t="s">
        <v>63</v>
      </c>
      <c r="H832">
        <v>2</v>
      </c>
      <c r="I832" t="s">
        <v>66</v>
      </c>
      <c r="J832">
        <v>35344</v>
      </c>
      <c r="K832" t="s">
        <v>60</v>
      </c>
      <c r="L832" t="s">
        <v>54</v>
      </c>
      <c r="M832" t="s">
        <v>27</v>
      </c>
      <c r="N832" s="2">
        <v>45087</v>
      </c>
      <c r="O832" s="2">
        <v>45117.125</v>
      </c>
      <c r="P832" t="s">
        <v>55</v>
      </c>
      <c r="Q832" t="s">
        <v>29</v>
      </c>
      <c r="R832" t="s">
        <v>30</v>
      </c>
      <c r="S832">
        <v>5</v>
      </c>
      <c r="T832">
        <v>10</v>
      </c>
      <c r="U832" t="s">
        <v>31</v>
      </c>
      <c r="V832" t="str">
        <f t="shared" si="12"/>
        <v>Oct-2023</v>
      </c>
      <c r="W832" s="16">
        <f>Table1[[#This Row],[Consultation Date]] - Table1[[#This Row],[Appointment Date]]</f>
        <v>30.125</v>
      </c>
    </row>
    <row r="833" spans="1:23" x14ac:dyDescent="0.3">
      <c r="A833" t="s">
        <v>890</v>
      </c>
      <c r="B833">
        <v>52</v>
      </c>
      <c r="C833" t="s">
        <v>41</v>
      </c>
      <c r="D833" s="2">
        <v>45351</v>
      </c>
      <c r="E833" s="2">
        <v>45538</v>
      </c>
      <c r="F833">
        <v>9</v>
      </c>
      <c r="G833" t="s">
        <v>50</v>
      </c>
      <c r="H833">
        <v>4</v>
      </c>
      <c r="I833" t="s">
        <v>46</v>
      </c>
      <c r="J833">
        <v>30034</v>
      </c>
      <c r="K833" t="s">
        <v>25</v>
      </c>
      <c r="L833" t="s">
        <v>54</v>
      </c>
      <c r="M833" t="s">
        <v>27</v>
      </c>
      <c r="N833" s="2">
        <v>45349</v>
      </c>
      <c r="O833" s="2">
        <v>45349.625</v>
      </c>
      <c r="P833" t="s">
        <v>37</v>
      </c>
      <c r="Q833" t="s">
        <v>29</v>
      </c>
      <c r="R833" t="s">
        <v>43</v>
      </c>
      <c r="S833">
        <v>9</v>
      </c>
      <c r="T833">
        <v>12</v>
      </c>
      <c r="U833" t="s">
        <v>31</v>
      </c>
      <c r="V833" t="str">
        <f t="shared" si="12"/>
        <v>Feb-2024</v>
      </c>
      <c r="W833" s="16">
        <f>Table1[[#This Row],[Consultation Date]] - Table1[[#This Row],[Appointment Date]]</f>
        <v>0.625</v>
      </c>
    </row>
    <row r="834" spans="1:23" x14ac:dyDescent="0.3">
      <c r="A834" t="s">
        <v>891</v>
      </c>
      <c r="B834">
        <v>79</v>
      </c>
      <c r="C834" t="s">
        <v>22</v>
      </c>
      <c r="D834" s="2">
        <v>45275</v>
      </c>
      <c r="E834" s="2">
        <v>45281</v>
      </c>
      <c r="F834">
        <v>6</v>
      </c>
      <c r="G834" t="s">
        <v>63</v>
      </c>
      <c r="H834">
        <v>3</v>
      </c>
      <c r="I834" t="s">
        <v>24</v>
      </c>
      <c r="J834">
        <v>30788</v>
      </c>
      <c r="K834" t="s">
        <v>25</v>
      </c>
      <c r="L834" t="s">
        <v>54</v>
      </c>
      <c r="M834" t="s">
        <v>41</v>
      </c>
      <c r="N834" s="2">
        <v>45273</v>
      </c>
      <c r="O834" s="2">
        <v>45273.875</v>
      </c>
      <c r="P834" t="s">
        <v>55</v>
      </c>
      <c r="Q834" t="s">
        <v>29</v>
      </c>
      <c r="R834" t="s">
        <v>43</v>
      </c>
      <c r="S834">
        <v>6</v>
      </c>
      <c r="T834">
        <v>12</v>
      </c>
      <c r="U834" t="s">
        <v>48</v>
      </c>
      <c r="V834" t="str">
        <f t="shared" ref="V834:V897" si="13">TEXT(D834,"mmm-yyyy")</f>
        <v>Dec-2023</v>
      </c>
      <c r="W834" s="16">
        <f>Table1[[#This Row],[Consultation Date]] - Table1[[#This Row],[Appointment Date]]</f>
        <v>0.875</v>
      </c>
    </row>
    <row r="835" spans="1:23" x14ac:dyDescent="0.3">
      <c r="A835" t="s">
        <v>892</v>
      </c>
      <c r="B835">
        <v>47</v>
      </c>
      <c r="C835" t="s">
        <v>41</v>
      </c>
      <c r="D835" s="2">
        <v>45357</v>
      </c>
      <c r="E835" s="2">
        <v>45418</v>
      </c>
      <c r="F835">
        <v>2</v>
      </c>
      <c r="G835" t="s">
        <v>50</v>
      </c>
      <c r="H835">
        <v>4</v>
      </c>
      <c r="I835" t="s">
        <v>66</v>
      </c>
      <c r="J835">
        <v>17751</v>
      </c>
      <c r="K835" t="s">
        <v>25</v>
      </c>
      <c r="L835" t="s">
        <v>54</v>
      </c>
      <c r="M835" t="s">
        <v>27</v>
      </c>
      <c r="N835" s="2">
        <v>45443</v>
      </c>
      <c r="O835" s="2">
        <v>45443.666666666664</v>
      </c>
      <c r="P835" t="s">
        <v>28</v>
      </c>
      <c r="Q835" t="s">
        <v>29</v>
      </c>
      <c r="R835" t="s">
        <v>30</v>
      </c>
      <c r="S835">
        <v>5</v>
      </c>
      <c r="T835">
        <v>10</v>
      </c>
      <c r="U835" t="s">
        <v>31</v>
      </c>
      <c r="V835" t="str">
        <f t="shared" si="13"/>
        <v>Mar-2024</v>
      </c>
      <c r="W835" s="16">
        <f>Table1[[#This Row],[Consultation Date]] - Table1[[#This Row],[Appointment Date]]</f>
        <v>0.66666666666424135</v>
      </c>
    </row>
    <row r="836" spans="1:23" x14ac:dyDescent="0.3">
      <c r="A836" t="s">
        <v>893</v>
      </c>
      <c r="B836">
        <v>56</v>
      </c>
      <c r="C836" t="s">
        <v>33</v>
      </c>
      <c r="D836" s="2">
        <v>44936</v>
      </c>
      <c r="E836" s="2">
        <v>45209</v>
      </c>
      <c r="F836">
        <v>9</v>
      </c>
      <c r="G836" t="s">
        <v>57</v>
      </c>
      <c r="H836">
        <v>4</v>
      </c>
      <c r="I836" t="s">
        <v>35</v>
      </c>
      <c r="J836">
        <v>38793</v>
      </c>
      <c r="K836" t="s">
        <v>36</v>
      </c>
      <c r="L836" t="s">
        <v>54</v>
      </c>
      <c r="M836" t="s">
        <v>27</v>
      </c>
      <c r="N836" s="2">
        <v>45197</v>
      </c>
      <c r="O836" s="2">
        <v>45198.125</v>
      </c>
      <c r="P836" t="s">
        <v>28</v>
      </c>
      <c r="Q836" t="s">
        <v>29</v>
      </c>
      <c r="R836" t="s">
        <v>43</v>
      </c>
      <c r="S836">
        <v>8</v>
      </c>
      <c r="T836">
        <v>12</v>
      </c>
      <c r="U836" t="s">
        <v>48</v>
      </c>
      <c r="V836" t="str">
        <f t="shared" si="13"/>
        <v>Jan-2023</v>
      </c>
      <c r="W836" s="16">
        <f>Table1[[#This Row],[Consultation Date]] - Table1[[#This Row],[Appointment Date]]</f>
        <v>1.125</v>
      </c>
    </row>
    <row r="837" spans="1:23" x14ac:dyDescent="0.3">
      <c r="A837" t="s">
        <v>894</v>
      </c>
      <c r="B837">
        <v>86</v>
      </c>
      <c r="C837" t="s">
        <v>45</v>
      </c>
      <c r="D837" s="2">
        <v>44986</v>
      </c>
      <c r="E837" s="2">
        <v>45261</v>
      </c>
      <c r="F837">
        <v>9</v>
      </c>
      <c r="G837" t="s">
        <v>23</v>
      </c>
      <c r="H837">
        <v>2</v>
      </c>
      <c r="I837" t="s">
        <v>24</v>
      </c>
      <c r="J837">
        <v>37839</v>
      </c>
      <c r="K837" t="s">
        <v>25</v>
      </c>
      <c r="L837" t="s">
        <v>54</v>
      </c>
      <c r="M837" t="s">
        <v>41</v>
      </c>
      <c r="N837" s="2">
        <v>44925</v>
      </c>
      <c r="O837" s="2">
        <v>44926.958333333336</v>
      </c>
      <c r="P837" t="s">
        <v>42</v>
      </c>
      <c r="Q837" t="s">
        <v>29</v>
      </c>
      <c r="R837" t="s">
        <v>47</v>
      </c>
      <c r="S837">
        <v>4</v>
      </c>
      <c r="T837">
        <v>10</v>
      </c>
      <c r="U837" t="s">
        <v>31</v>
      </c>
      <c r="V837" t="str">
        <f t="shared" si="13"/>
        <v>Mar-2023</v>
      </c>
      <c r="W837" s="16">
        <f>Table1[[#This Row],[Consultation Date]] - Table1[[#This Row],[Appointment Date]]</f>
        <v>1.9583333333357587</v>
      </c>
    </row>
    <row r="838" spans="1:23" x14ac:dyDescent="0.3">
      <c r="A838" t="s">
        <v>895</v>
      </c>
      <c r="B838">
        <v>14</v>
      </c>
      <c r="C838" t="s">
        <v>62</v>
      </c>
      <c r="D838" s="2">
        <v>45216</v>
      </c>
      <c r="E838" s="2">
        <v>45225</v>
      </c>
      <c r="F838">
        <v>9</v>
      </c>
      <c r="G838" t="s">
        <v>23</v>
      </c>
      <c r="H838">
        <v>5</v>
      </c>
      <c r="I838" t="s">
        <v>46</v>
      </c>
      <c r="J838">
        <v>43314</v>
      </c>
      <c r="K838" t="s">
        <v>36</v>
      </c>
      <c r="L838" t="s">
        <v>26</v>
      </c>
      <c r="M838" t="s">
        <v>27</v>
      </c>
      <c r="N838" s="2">
        <v>45270</v>
      </c>
      <c r="O838" s="2">
        <v>45270.875</v>
      </c>
      <c r="P838" t="s">
        <v>55</v>
      </c>
      <c r="Q838" t="s">
        <v>29</v>
      </c>
      <c r="R838" t="s">
        <v>43</v>
      </c>
      <c r="S838">
        <v>11</v>
      </c>
      <c r="T838">
        <v>12</v>
      </c>
      <c r="U838" t="s">
        <v>31</v>
      </c>
      <c r="V838" t="str">
        <f t="shared" si="13"/>
        <v>Oct-2023</v>
      </c>
      <c r="W838" s="16">
        <f>Table1[[#This Row],[Consultation Date]] - Table1[[#This Row],[Appointment Date]]</f>
        <v>0.875</v>
      </c>
    </row>
    <row r="839" spans="1:23" x14ac:dyDescent="0.3">
      <c r="A839" t="s">
        <v>896</v>
      </c>
      <c r="B839">
        <v>28</v>
      </c>
      <c r="C839" t="s">
        <v>33</v>
      </c>
      <c r="D839" s="2">
        <v>44968</v>
      </c>
      <c r="E839" s="2">
        <v>45245</v>
      </c>
      <c r="F839">
        <v>13</v>
      </c>
      <c r="G839" t="s">
        <v>57</v>
      </c>
      <c r="H839">
        <v>1</v>
      </c>
      <c r="I839" t="s">
        <v>46</v>
      </c>
      <c r="J839">
        <v>40453</v>
      </c>
      <c r="K839" t="s">
        <v>36</v>
      </c>
      <c r="L839" t="s">
        <v>54</v>
      </c>
      <c r="M839" t="s">
        <v>41</v>
      </c>
      <c r="N839" s="2">
        <v>45230</v>
      </c>
      <c r="O839" s="2">
        <v>45230.75</v>
      </c>
      <c r="P839" t="s">
        <v>37</v>
      </c>
      <c r="Q839" t="s">
        <v>38</v>
      </c>
      <c r="R839" t="s">
        <v>43</v>
      </c>
      <c r="S839">
        <v>8</v>
      </c>
      <c r="T839">
        <v>8</v>
      </c>
      <c r="U839" t="s">
        <v>31</v>
      </c>
      <c r="V839" t="str">
        <f t="shared" si="13"/>
        <v>Feb-2023</v>
      </c>
      <c r="W839" s="16">
        <f>Table1[[#This Row],[Consultation Date]] - Table1[[#This Row],[Appointment Date]]</f>
        <v>0.75</v>
      </c>
    </row>
    <row r="840" spans="1:23" x14ac:dyDescent="0.3">
      <c r="A840" t="s">
        <v>897</v>
      </c>
      <c r="B840">
        <v>87</v>
      </c>
      <c r="C840" t="s">
        <v>45</v>
      </c>
      <c r="D840" s="2">
        <v>45428</v>
      </c>
      <c r="E840" s="2">
        <v>45437</v>
      </c>
      <c r="F840">
        <v>9</v>
      </c>
      <c r="G840" t="s">
        <v>57</v>
      </c>
      <c r="H840">
        <v>5</v>
      </c>
      <c r="I840" t="s">
        <v>35</v>
      </c>
      <c r="J840">
        <v>14385</v>
      </c>
      <c r="K840" t="s">
        <v>60</v>
      </c>
      <c r="L840" t="s">
        <v>26</v>
      </c>
      <c r="M840" t="s">
        <v>27</v>
      </c>
      <c r="N840" s="2">
        <v>45426</v>
      </c>
      <c r="O840" s="2">
        <v>45426.208333333336</v>
      </c>
      <c r="P840" t="s">
        <v>28</v>
      </c>
      <c r="Q840" t="s">
        <v>29</v>
      </c>
      <c r="R840" t="s">
        <v>47</v>
      </c>
      <c r="S840">
        <v>7</v>
      </c>
      <c r="T840">
        <v>10</v>
      </c>
      <c r="U840" t="s">
        <v>68</v>
      </c>
      <c r="V840" t="str">
        <f t="shared" si="13"/>
        <v>May-2024</v>
      </c>
      <c r="W840" s="16">
        <f>Table1[[#This Row],[Consultation Date]] - Table1[[#This Row],[Appointment Date]]</f>
        <v>0.20833333333575865</v>
      </c>
    </row>
    <row r="841" spans="1:23" x14ac:dyDescent="0.3">
      <c r="A841" t="s">
        <v>898</v>
      </c>
      <c r="B841">
        <v>78</v>
      </c>
      <c r="C841" t="s">
        <v>41</v>
      </c>
      <c r="D841" s="2">
        <v>44963</v>
      </c>
      <c r="E841" s="2">
        <v>45236</v>
      </c>
      <c r="F841">
        <v>9</v>
      </c>
      <c r="G841" t="s">
        <v>34</v>
      </c>
      <c r="H841">
        <v>3</v>
      </c>
      <c r="I841" t="s">
        <v>35</v>
      </c>
      <c r="J841">
        <v>23232</v>
      </c>
      <c r="K841" t="s">
        <v>53</v>
      </c>
      <c r="L841" t="s">
        <v>26</v>
      </c>
      <c r="M841" t="s">
        <v>27</v>
      </c>
      <c r="N841" s="2">
        <v>45077</v>
      </c>
      <c r="O841" s="2">
        <v>44932.541666666664</v>
      </c>
      <c r="P841" t="s">
        <v>37</v>
      </c>
      <c r="Q841" t="s">
        <v>29</v>
      </c>
      <c r="R841" t="s">
        <v>43</v>
      </c>
      <c r="S841">
        <v>4</v>
      </c>
      <c r="T841">
        <v>8</v>
      </c>
      <c r="U841" t="s">
        <v>48</v>
      </c>
      <c r="V841" t="str">
        <f t="shared" si="13"/>
        <v>Feb-2023</v>
      </c>
      <c r="W841" s="16">
        <f>Table1[[#This Row],[Consultation Date]] - Table1[[#This Row],[Appointment Date]]</f>
        <v>-144.45833333333576</v>
      </c>
    </row>
    <row r="842" spans="1:23" x14ac:dyDescent="0.3">
      <c r="A842" t="s">
        <v>899</v>
      </c>
      <c r="B842">
        <v>88</v>
      </c>
      <c r="C842" t="s">
        <v>52</v>
      </c>
      <c r="D842" s="2">
        <v>45326</v>
      </c>
      <c r="E842" s="2">
        <v>45355</v>
      </c>
      <c r="F842">
        <v>1</v>
      </c>
      <c r="G842" t="s">
        <v>57</v>
      </c>
      <c r="H842">
        <v>5</v>
      </c>
      <c r="I842" t="s">
        <v>24</v>
      </c>
      <c r="J842">
        <v>48344</v>
      </c>
      <c r="K842" t="s">
        <v>60</v>
      </c>
      <c r="L842" t="s">
        <v>54</v>
      </c>
      <c r="M842" t="s">
        <v>41</v>
      </c>
      <c r="N842" s="2">
        <v>45382</v>
      </c>
      <c r="O842" s="2">
        <v>45295</v>
      </c>
      <c r="P842" t="s">
        <v>64</v>
      </c>
      <c r="Q842" t="s">
        <v>29</v>
      </c>
      <c r="R842" t="s">
        <v>43</v>
      </c>
      <c r="S842">
        <v>7</v>
      </c>
      <c r="T842">
        <v>12</v>
      </c>
      <c r="U842" t="s">
        <v>68</v>
      </c>
      <c r="V842" t="str">
        <f t="shared" si="13"/>
        <v>Feb-2024</v>
      </c>
      <c r="W842" s="16">
        <f>Table1[[#This Row],[Consultation Date]] - Table1[[#This Row],[Appointment Date]]</f>
        <v>-87</v>
      </c>
    </row>
    <row r="843" spans="1:23" x14ac:dyDescent="0.3">
      <c r="A843" t="s">
        <v>900</v>
      </c>
      <c r="B843">
        <v>2</v>
      </c>
      <c r="C843" t="s">
        <v>52</v>
      </c>
      <c r="D843" s="2">
        <v>45570</v>
      </c>
      <c r="E843" s="2">
        <v>45429</v>
      </c>
      <c r="F843">
        <v>7</v>
      </c>
      <c r="G843" t="s">
        <v>63</v>
      </c>
      <c r="H843">
        <v>3</v>
      </c>
      <c r="I843" t="s">
        <v>71</v>
      </c>
      <c r="J843">
        <v>39790</v>
      </c>
      <c r="K843" t="s">
        <v>60</v>
      </c>
      <c r="L843" t="s">
        <v>26</v>
      </c>
      <c r="M843" t="s">
        <v>27</v>
      </c>
      <c r="N843" s="2">
        <v>45448</v>
      </c>
      <c r="O843" s="2">
        <v>45448.333333333336</v>
      </c>
      <c r="P843" t="s">
        <v>28</v>
      </c>
      <c r="Q843" t="s">
        <v>29</v>
      </c>
      <c r="R843" t="s">
        <v>30</v>
      </c>
      <c r="S843">
        <v>9</v>
      </c>
      <c r="T843">
        <v>8</v>
      </c>
      <c r="U843" t="s">
        <v>31</v>
      </c>
      <c r="V843" t="str">
        <f t="shared" si="13"/>
        <v>Oct-2024</v>
      </c>
      <c r="W843" s="16">
        <f>Table1[[#This Row],[Consultation Date]] - Table1[[#This Row],[Appointment Date]]</f>
        <v>0.33333333333575865</v>
      </c>
    </row>
    <row r="844" spans="1:23" x14ac:dyDescent="0.3">
      <c r="A844" t="s">
        <v>901</v>
      </c>
      <c r="B844">
        <v>26</v>
      </c>
      <c r="C844" t="s">
        <v>22</v>
      </c>
      <c r="D844" s="2">
        <v>45280</v>
      </c>
      <c r="E844" s="2">
        <v>45352</v>
      </c>
      <c r="F844">
        <v>14</v>
      </c>
      <c r="G844" t="s">
        <v>23</v>
      </c>
      <c r="H844">
        <v>3</v>
      </c>
      <c r="I844" t="s">
        <v>35</v>
      </c>
      <c r="J844">
        <v>20831</v>
      </c>
      <c r="K844" t="s">
        <v>36</v>
      </c>
      <c r="L844" t="s">
        <v>54</v>
      </c>
      <c r="M844" t="s">
        <v>41</v>
      </c>
      <c r="N844" s="2">
        <v>45277</v>
      </c>
      <c r="O844" s="2">
        <v>45278.375</v>
      </c>
      <c r="P844" t="s">
        <v>42</v>
      </c>
      <c r="Q844" t="s">
        <v>29</v>
      </c>
      <c r="R844" t="s">
        <v>47</v>
      </c>
      <c r="S844">
        <v>10</v>
      </c>
      <c r="T844">
        <v>12</v>
      </c>
      <c r="U844" t="s">
        <v>68</v>
      </c>
      <c r="V844" t="str">
        <f t="shared" si="13"/>
        <v>Dec-2023</v>
      </c>
      <c r="W844" s="16">
        <f>Table1[[#This Row],[Consultation Date]] - Table1[[#This Row],[Appointment Date]]</f>
        <v>1.375</v>
      </c>
    </row>
    <row r="845" spans="1:23" x14ac:dyDescent="0.3">
      <c r="A845" t="s">
        <v>902</v>
      </c>
      <c r="B845">
        <v>14</v>
      </c>
      <c r="C845" t="s">
        <v>45</v>
      </c>
      <c r="D845" s="2">
        <v>45119</v>
      </c>
      <c r="E845" s="2">
        <v>45275</v>
      </c>
      <c r="F845">
        <v>8</v>
      </c>
      <c r="G845" t="s">
        <v>40</v>
      </c>
      <c r="H845">
        <v>1</v>
      </c>
      <c r="I845" t="s">
        <v>71</v>
      </c>
      <c r="J845">
        <v>25125</v>
      </c>
      <c r="K845" t="s">
        <v>36</v>
      </c>
      <c r="L845" t="s">
        <v>54</v>
      </c>
      <c r="M845" t="s">
        <v>41</v>
      </c>
      <c r="N845" s="2">
        <v>45028</v>
      </c>
      <c r="O845" s="2">
        <v>45058.833333333336</v>
      </c>
      <c r="P845" t="s">
        <v>64</v>
      </c>
      <c r="Q845" t="s">
        <v>29</v>
      </c>
      <c r="R845" t="s">
        <v>47</v>
      </c>
      <c r="S845">
        <v>10</v>
      </c>
      <c r="T845">
        <v>10</v>
      </c>
      <c r="U845" t="s">
        <v>48</v>
      </c>
      <c r="V845" t="str">
        <f t="shared" si="13"/>
        <v>Jul-2023</v>
      </c>
      <c r="W845" s="16">
        <f>Table1[[#This Row],[Consultation Date]] - Table1[[#This Row],[Appointment Date]]</f>
        <v>30.833333333335759</v>
      </c>
    </row>
    <row r="846" spans="1:23" x14ac:dyDescent="0.3">
      <c r="A846" t="s">
        <v>903</v>
      </c>
      <c r="B846">
        <v>59</v>
      </c>
      <c r="C846" t="s">
        <v>52</v>
      </c>
      <c r="D846" s="2">
        <v>45313</v>
      </c>
      <c r="E846" s="2">
        <v>45314</v>
      </c>
      <c r="F846">
        <v>1</v>
      </c>
      <c r="G846" t="s">
        <v>23</v>
      </c>
      <c r="H846">
        <v>2</v>
      </c>
      <c r="I846" t="s">
        <v>66</v>
      </c>
      <c r="J846">
        <v>22682</v>
      </c>
      <c r="K846" t="s">
        <v>25</v>
      </c>
      <c r="L846" t="s">
        <v>54</v>
      </c>
      <c r="M846" t="s">
        <v>41</v>
      </c>
      <c r="N846" s="2">
        <v>45313</v>
      </c>
      <c r="O846" s="2">
        <v>45313.166666666664</v>
      </c>
      <c r="P846" t="s">
        <v>55</v>
      </c>
      <c r="Q846" t="s">
        <v>29</v>
      </c>
      <c r="R846" t="s">
        <v>30</v>
      </c>
      <c r="S846">
        <v>10</v>
      </c>
      <c r="T846">
        <v>12</v>
      </c>
      <c r="U846" t="s">
        <v>31</v>
      </c>
      <c r="V846" t="str">
        <f t="shared" si="13"/>
        <v>Jan-2024</v>
      </c>
      <c r="W846" s="16">
        <f>Table1[[#This Row],[Consultation Date]] - Table1[[#This Row],[Appointment Date]]</f>
        <v>0.16666666666424135</v>
      </c>
    </row>
    <row r="847" spans="1:23" x14ac:dyDescent="0.3">
      <c r="A847" t="s">
        <v>904</v>
      </c>
      <c r="B847">
        <v>56</v>
      </c>
      <c r="C847" t="s">
        <v>62</v>
      </c>
      <c r="D847" s="2">
        <v>45600</v>
      </c>
      <c r="E847" s="2">
        <v>45404</v>
      </c>
      <c r="F847">
        <v>11</v>
      </c>
      <c r="G847" t="s">
        <v>50</v>
      </c>
      <c r="H847">
        <v>1</v>
      </c>
      <c r="I847" t="s">
        <v>46</v>
      </c>
      <c r="J847">
        <v>41870</v>
      </c>
      <c r="K847" t="s">
        <v>25</v>
      </c>
      <c r="L847" t="s">
        <v>54</v>
      </c>
      <c r="M847" t="s">
        <v>27</v>
      </c>
      <c r="N847" s="2">
        <v>45447</v>
      </c>
      <c r="O847" s="2">
        <v>45447.5</v>
      </c>
      <c r="P847" t="s">
        <v>37</v>
      </c>
      <c r="Q847" t="s">
        <v>29</v>
      </c>
      <c r="R847" t="s">
        <v>30</v>
      </c>
      <c r="S847">
        <v>5</v>
      </c>
      <c r="T847">
        <v>12</v>
      </c>
      <c r="U847" t="s">
        <v>68</v>
      </c>
      <c r="V847" t="str">
        <f t="shared" si="13"/>
        <v>Nov-2024</v>
      </c>
      <c r="W847" s="16">
        <f>Table1[[#This Row],[Consultation Date]] - Table1[[#This Row],[Appointment Date]]</f>
        <v>0.5</v>
      </c>
    </row>
    <row r="848" spans="1:23" x14ac:dyDescent="0.3">
      <c r="A848" t="s">
        <v>905</v>
      </c>
      <c r="B848">
        <v>7</v>
      </c>
      <c r="C848" t="s">
        <v>45</v>
      </c>
      <c r="D848" s="2">
        <v>45256</v>
      </c>
      <c r="E848" s="2">
        <v>44997</v>
      </c>
      <c r="F848">
        <v>7</v>
      </c>
      <c r="G848" t="s">
        <v>23</v>
      </c>
      <c r="H848">
        <v>5</v>
      </c>
      <c r="I848" t="s">
        <v>71</v>
      </c>
      <c r="J848">
        <v>22288</v>
      </c>
      <c r="K848" t="s">
        <v>60</v>
      </c>
      <c r="L848" t="s">
        <v>54</v>
      </c>
      <c r="M848" t="s">
        <v>27</v>
      </c>
      <c r="N848" s="2">
        <v>45253</v>
      </c>
      <c r="O848" s="2">
        <v>45253.625</v>
      </c>
      <c r="P848" t="s">
        <v>28</v>
      </c>
      <c r="Q848" t="s">
        <v>29</v>
      </c>
      <c r="R848" t="s">
        <v>43</v>
      </c>
      <c r="S848">
        <v>6</v>
      </c>
      <c r="T848">
        <v>10</v>
      </c>
      <c r="U848" t="s">
        <v>68</v>
      </c>
      <c r="V848" t="str">
        <f t="shared" si="13"/>
        <v>Nov-2023</v>
      </c>
      <c r="W848" s="16">
        <f>Table1[[#This Row],[Consultation Date]] - Table1[[#This Row],[Appointment Date]]</f>
        <v>0.625</v>
      </c>
    </row>
    <row r="849" spans="1:23" x14ac:dyDescent="0.3">
      <c r="A849" t="s">
        <v>906</v>
      </c>
      <c r="B849">
        <v>3</v>
      </c>
      <c r="C849" t="s">
        <v>62</v>
      </c>
      <c r="D849" s="2">
        <v>45120</v>
      </c>
      <c r="E849" s="2">
        <v>45126</v>
      </c>
      <c r="F849">
        <v>6</v>
      </c>
      <c r="G849" t="s">
        <v>34</v>
      </c>
      <c r="H849">
        <v>3</v>
      </c>
      <c r="I849" t="s">
        <v>46</v>
      </c>
      <c r="J849">
        <v>40794</v>
      </c>
      <c r="K849" t="s">
        <v>67</v>
      </c>
      <c r="L849" t="s">
        <v>54</v>
      </c>
      <c r="M849" t="s">
        <v>27</v>
      </c>
      <c r="N849" s="2">
        <v>45237</v>
      </c>
      <c r="O849" s="2">
        <v>45267.416666666664</v>
      </c>
      <c r="P849" t="s">
        <v>64</v>
      </c>
      <c r="Q849" t="s">
        <v>29</v>
      </c>
      <c r="R849" t="s">
        <v>43</v>
      </c>
      <c r="S849">
        <v>8</v>
      </c>
      <c r="T849">
        <v>12</v>
      </c>
      <c r="U849" t="s">
        <v>48</v>
      </c>
      <c r="V849" t="str">
        <f t="shared" si="13"/>
        <v>Jul-2023</v>
      </c>
      <c r="W849" s="16">
        <f>Table1[[#This Row],[Consultation Date]] - Table1[[#This Row],[Appointment Date]]</f>
        <v>30.416666666664241</v>
      </c>
    </row>
    <row r="850" spans="1:23" x14ac:dyDescent="0.3">
      <c r="A850" t="s">
        <v>907</v>
      </c>
      <c r="B850">
        <v>23</v>
      </c>
      <c r="C850" t="s">
        <v>62</v>
      </c>
      <c r="D850" s="2">
        <v>44966</v>
      </c>
      <c r="E850" s="2">
        <v>45116</v>
      </c>
      <c r="F850">
        <v>5</v>
      </c>
      <c r="G850" t="s">
        <v>57</v>
      </c>
      <c r="H850">
        <v>4</v>
      </c>
      <c r="I850" t="s">
        <v>71</v>
      </c>
      <c r="J850">
        <v>44477</v>
      </c>
      <c r="K850" t="s">
        <v>67</v>
      </c>
      <c r="L850" t="s">
        <v>54</v>
      </c>
      <c r="M850" t="s">
        <v>41</v>
      </c>
      <c r="N850" s="2">
        <v>44935</v>
      </c>
      <c r="O850" s="2">
        <v>44935.125</v>
      </c>
      <c r="P850" t="s">
        <v>64</v>
      </c>
      <c r="Q850" t="s">
        <v>29</v>
      </c>
      <c r="R850" t="s">
        <v>43</v>
      </c>
      <c r="S850">
        <v>7</v>
      </c>
      <c r="T850">
        <v>10</v>
      </c>
      <c r="U850" t="s">
        <v>68</v>
      </c>
      <c r="V850" t="str">
        <f t="shared" si="13"/>
        <v>Feb-2023</v>
      </c>
      <c r="W850" s="16">
        <f>Table1[[#This Row],[Consultation Date]] - Table1[[#This Row],[Appointment Date]]</f>
        <v>0.125</v>
      </c>
    </row>
    <row r="851" spans="1:23" x14ac:dyDescent="0.3">
      <c r="A851" t="s">
        <v>908</v>
      </c>
      <c r="B851">
        <v>18</v>
      </c>
      <c r="C851" t="s">
        <v>52</v>
      </c>
      <c r="D851" s="2">
        <v>45319</v>
      </c>
      <c r="E851" s="2">
        <v>45537</v>
      </c>
      <c r="F851">
        <v>12</v>
      </c>
      <c r="G851" t="s">
        <v>57</v>
      </c>
      <c r="H851">
        <v>4</v>
      </c>
      <c r="I851" t="s">
        <v>66</v>
      </c>
      <c r="J851">
        <v>29405</v>
      </c>
      <c r="K851" t="s">
        <v>25</v>
      </c>
      <c r="L851" t="s">
        <v>54</v>
      </c>
      <c r="M851" t="s">
        <v>41</v>
      </c>
      <c r="N851" s="2">
        <v>45317</v>
      </c>
      <c r="O851" s="2">
        <v>45318.083333333336</v>
      </c>
      <c r="P851" t="s">
        <v>28</v>
      </c>
      <c r="Q851" t="s">
        <v>38</v>
      </c>
      <c r="R851" t="s">
        <v>30</v>
      </c>
      <c r="S851">
        <v>5</v>
      </c>
      <c r="T851">
        <v>12</v>
      </c>
      <c r="U851" t="s">
        <v>48</v>
      </c>
      <c r="V851" t="str">
        <f t="shared" si="13"/>
        <v>Jan-2024</v>
      </c>
      <c r="W851" s="16">
        <f>Table1[[#This Row],[Consultation Date]] - Table1[[#This Row],[Appointment Date]]</f>
        <v>1.0833333333357587</v>
      </c>
    </row>
    <row r="852" spans="1:23" x14ac:dyDescent="0.3">
      <c r="A852" t="s">
        <v>909</v>
      </c>
      <c r="B852">
        <v>38</v>
      </c>
      <c r="C852" t="s">
        <v>45</v>
      </c>
      <c r="D852" s="2">
        <v>45166</v>
      </c>
      <c r="E852" s="2">
        <v>45167</v>
      </c>
      <c r="F852">
        <v>1</v>
      </c>
      <c r="G852" t="s">
        <v>23</v>
      </c>
      <c r="H852">
        <v>3</v>
      </c>
      <c r="I852" t="s">
        <v>35</v>
      </c>
      <c r="J852">
        <v>43737</v>
      </c>
      <c r="K852" t="s">
        <v>67</v>
      </c>
      <c r="L852" t="s">
        <v>54</v>
      </c>
      <c r="M852" t="s">
        <v>27</v>
      </c>
      <c r="N852" s="2">
        <v>45164</v>
      </c>
      <c r="O852" s="2">
        <v>45164.208333333336</v>
      </c>
      <c r="P852" t="s">
        <v>55</v>
      </c>
      <c r="Q852" t="s">
        <v>29</v>
      </c>
      <c r="R852" t="s">
        <v>47</v>
      </c>
      <c r="S852">
        <v>10</v>
      </c>
      <c r="T852">
        <v>10</v>
      </c>
      <c r="U852" t="s">
        <v>31</v>
      </c>
      <c r="V852" t="str">
        <f t="shared" si="13"/>
        <v>Aug-2023</v>
      </c>
      <c r="W852" s="16">
        <f>Table1[[#This Row],[Consultation Date]] - Table1[[#This Row],[Appointment Date]]</f>
        <v>0.20833333333575865</v>
      </c>
    </row>
    <row r="853" spans="1:23" x14ac:dyDescent="0.3">
      <c r="A853" t="s">
        <v>910</v>
      </c>
      <c r="B853">
        <v>15</v>
      </c>
      <c r="C853" t="s">
        <v>41</v>
      </c>
      <c r="D853" s="2">
        <v>45347</v>
      </c>
      <c r="E853" s="2">
        <v>45325</v>
      </c>
      <c r="F853">
        <v>6</v>
      </c>
      <c r="G853" t="s">
        <v>40</v>
      </c>
      <c r="H853">
        <v>1</v>
      </c>
      <c r="I853" t="s">
        <v>66</v>
      </c>
      <c r="J853">
        <v>7620</v>
      </c>
      <c r="K853" t="s">
        <v>25</v>
      </c>
      <c r="L853" t="s">
        <v>54</v>
      </c>
      <c r="M853" t="s">
        <v>27</v>
      </c>
      <c r="N853" s="2">
        <v>45344</v>
      </c>
      <c r="O853" s="2">
        <v>45345.25</v>
      </c>
      <c r="P853" t="s">
        <v>55</v>
      </c>
      <c r="Q853" t="s">
        <v>29</v>
      </c>
      <c r="R853" t="s">
        <v>43</v>
      </c>
      <c r="S853">
        <v>8</v>
      </c>
      <c r="T853">
        <v>8</v>
      </c>
      <c r="U853" t="s">
        <v>31</v>
      </c>
      <c r="V853" t="str">
        <f t="shared" si="13"/>
        <v>Feb-2024</v>
      </c>
      <c r="W853" s="16">
        <f>Table1[[#This Row],[Consultation Date]] - Table1[[#This Row],[Appointment Date]]</f>
        <v>1.25</v>
      </c>
    </row>
    <row r="854" spans="1:23" x14ac:dyDescent="0.3">
      <c r="A854" t="s">
        <v>911</v>
      </c>
      <c r="B854">
        <v>64</v>
      </c>
      <c r="C854" t="s">
        <v>33</v>
      </c>
      <c r="D854" s="2">
        <v>44971</v>
      </c>
      <c r="E854" s="2">
        <v>44984</v>
      </c>
      <c r="F854">
        <v>13</v>
      </c>
      <c r="G854" t="s">
        <v>40</v>
      </c>
      <c r="H854">
        <v>2</v>
      </c>
      <c r="I854" t="s">
        <v>35</v>
      </c>
      <c r="J854">
        <v>40414</v>
      </c>
      <c r="K854" t="s">
        <v>36</v>
      </c>
      <c r="L854" t="s">
        <v>54</v>
      </c>
      <c r="M854" t="s">
        <v>27</v>
      </c>
      <c r="N854" s="2">
        <v>44971</v>
      </c>
      <c r="O854" s="2">
        <v>44971.791666666664</v>
      </c>
      <c r="P854" t="s">
        <v>42</v>
      </c>
      <c r="Q854" t="s">
        <v>29</v>
      </c>
      <c r="R854" t="s">
        <v>30</v>
      </c>
      <c r="S854">
        <v>8</v>
      </c>
      <c r="T854">
        <v>12</v>
      </c>
      <c r="U854" t="s">
        <v>68</v>
      </c>
      <c r="V854" t="str">
        <f t="shared" si="13"/>
        <v>Feb-2023</v>
      </c>
      <c r="W854" s="16">
        <f>Table1[[#This Row],[Consultation Date]] - Table1[[#This Row],[Appointment Date]]</f>
        <v>0.79166666666424135</v>
      </c>
    </row>
    <row r="855" spans="1:23" x14ac:dyDescent="0.3">
      <c r="A855" t="s">
        <v>912</v>
      </c>
      <c r="B855">
        <v>89</v>
      </c>
      <c r="C855" t="s">
        <v>52</v>
      </c>
      <c r="D855" s="2">
        <v>45252</v>
      </c>
      <c r="E855" s="2">
        <v>45254</v>
      </c>
      <c r="F855">
        <v>2</v>
      </c>
      <c r="G855" t="s">
        <v>34</v>
      </c>
      <c r="H855">
        <v>1</v>
      </c>
      <c r="I855" t="s">
        <v>35</v>
      </c>
      <c r="J855">
        <v>42633</v>
      </c>
      <c r="K855" t="s">
        <v>60</v>
      </c>
      <c r="L855" t="s">
        <v>54</v>
      </c>
      <c r="M855" t="s">
        <v>41</v>
      </c>
      <c r="N855" s="2">
        <v>45248</v>
      </c>
      <c r="O855" s="2">
        <v>45248.833333333336</v>
      </c>
      <c r="P855" t="s">
        <v>55</v>
      </c>
      <c r="Q855" t="s">
        <v>29</v>
      </c>
      <c r="R855" t="s">
        <v>47</v>
      </c>
      <c r="S855">
        <v>9</v>
      </c>
      <c r="T855">
        <v>12</v>
      </c>
      <c r="U855" t="s">
        <v>31</v>
      </c>
      <c r="V855" t="str">
        <f t="shared" si="13"/>
        <v>Nov-2023</v>
      </c>
      <c r="W855" s="16">
        <f>Table1[[#This Row],[Consultation Date]] - Table1[[#This Row],[Appointment Date]]</f>
        <v>0.83333333333575865</v>
      </c>
    </row>
    <row r="856" spans="1:23" x14ac:dyDescent="0.3">
      <c r="A856" t="s">
        <v>913</v>
      </c>
      <c r="B856">
        <v>28</v>
      </c>
      <c r="C856" t="s">
        <v>52</v>
      </c>
      <c r="D856" s="2">
        <v>45411</v>
      </c>
      <c r="E856" s="2">
        <v>45417</v>
      </c>
      <c r="F856">
        <v>6</v>
      </c>
      <c r="G856" t="s">
        <v>50</v>
      </c>
      <c r="H856">
        <v>3</v>
      </c>
      <c r="I856" t="s">
        <v>46</v>
      </c>
      <c r="J856">
        <v>40057</v>
      </c>
      <c r="K856" t="s">
        <v>53</v>
      </c>
      <c r="L856" t="s">
        <v>54</v>
      </c>
      <c r="M856" t="s">
        <v>27</v>
      </c>
      <c r="N856" s="2">
        <v>45410</v>
      </c>
      <c r="O856" s="2">
        <v>45410.875</v>
      </c>
      <c r="P856" t="s">
        <v>42</v>
      </c>
      <c r="Q856" t="s">
        <v>29</v>
      </c>
      <c r="R856" t="s">
        <v>30</v>
      </c>
      <c r="S856">
        <v>9</v>
      </c>
      <c r="T856">
        <v>12</v>
      </c>
      <c r="U856" t="s">
        <v>31</v>
      </c>
      <c r="V856" t="str">
        <f t="shared" si="13"/>
        <v>Apr-2024</v>
      </c>
      <c r="W856" s="16">
        <f>Table1[[#This Row],[Consultation Date]] - Table1[[#This Row],[Appointment Date]]</f>
        <v>0.875</v>
      </c>
    </row>
    <row r="857" spans="1:23" x14ac:dyDescent="0.3">
      <c r="A857" t="s">
        <v>914</v>
      </c>
      <c r="B857">
        <v>74</v>
      </c>
      <c r="C857" t="s">
        <v>41</v>
      </c>
      <c r="D857" s="2">
        <v>45317</v>
      </c>
      <c r="E857" s="2">
        <v>45321</v>
      </c>
      <c r="F857">
        <v>4</v>
      </c>
      <c r="G857" t="s">
        <v>23</v>
      </c>
      <c r="H857">
        <v>3</v>
      </c>
      <c r="I857" t="s">
        <v>66</v>
      </c>
      <c r="J857">
        <v>45138</v>
      </c>
      <c r="K857" t="s">
        <v>60</v>
      </c>
      <c r="L857" t="s">
        <v>54</v>
      </c>
      <c r="M857" t="s">
        <v>27</v>
      </c>
      <c r="N857" s="2">
        <v>45312</v>
      </c>
      <c r="O857" s="2">
        <v>45312.25</v>
      </c>
      <c r="P857" t="s">
        <v>64</v>
      </c>
      <c r="Q857" t="s">
        <v>29</v>
      </c>
      <c r="R857" t="s">
        <v>43</v>
      </c>
      <c r="S857">
        <v>10</v>
      </c>
      <c r="T857">
        <v>10</v>
      </c>
      <c r="U857" t="s">
        <v>68</v>
      </c>
      <c r="V857" t="str">
        <f t="shared" si="13"/>
        <v>Jan-2024</v>
      </c>
      <c r="W857" s="16">
        <f>Table1[[#This Row],[Consultation Date]] - Table1[[#This Row],[Appointment Date]]</f>
        <v>0.25</v>
      </c>
    </row>
    <row r="858" spans="1:23" x14ac:dyDescent="0.3">
      <c r="A858" t="s">
        <v>915</v>
      </c>
      <c r="B858">
        <v>39</v>
      </c>
      <c r="C858" t="s">
        <v>45</v>
      </c>
      <c r="D858" s="2">
        <v>45322</v>
      </c>
      <c r="E858" s="2">
        <v>45628</v>
      </c>
      <c r="F858">
        <v>12</v>
      </c>
      <c r="G858" t="s">
        <v>57</v>
      </c>
      <c r="H858">
        <v>2</v>
      </c>
      <c r="I858" t="s">
        <v>71</v>
      </c>
      <c r="J858">
        <v>18854</v>
      </c>
      <c r="K858" t="s">
        <v>25</v>
      </c>
      <c r="L858" t="s">
        <v>54</v>
      </c>
      <c r="M858" t="s">
        <v>27</v>
      </c>
      <c r="N858" s="2">
        <v>45321</v>
      </c>
      <c r="O858" s="2">
        <v>45322.5</v>
      </c>
      <c r="P858" t="s">
        <v>28</v>
      </c>
      <c r="Q858" t="s">
        <v>29</v>
      </c>
      <c r="R858" t="s">
        <v>30</v>
      </c>
      <c r="S858">
        <v>7</v>
      </c>
      <c r="T858">
        <v>12</v>
      </c>
      <c r="U858" t="s">
        <v>31</v>
      </c>
      <c r="V858" t="str">
        <f t="shared" si="13"/>
        <v>Jan-2024</v>
      </c>
      <c r="W858" s="16">
        <f>Table1[[#This Row],[Consultation Date]] - Table1[[#This Row],[Appointment Date]]</f>
        <v>1.5</v>
      </c>
    </row>
    <row r="859" spans="1:23" x14ac:dyDescent="0.3">
      <c r="A859" t="s">
        <v>916</v>
      </c>
      <c r="B859">
        <v>57</v>
      </c>
      <c r="C859" t="s">
        <v>45</v>
      </c>
      <c r="D859" s="2">
        <v>45052</v>
      </c>
      <c r="E859" s="2">
        <v>45093</v>
      </c>
      <c r="F859">
        <v>11</v>
      </c>
      <c r="G859" t="s">
        <v>23</v>
      </c>
      <c r="H859">
        <v>5</v>
      </c>
      <c r="I859" t="s">
        <v>66</v>
      </c>
      <c r="J859">
        <v>14677</v>
      </c>
      <c r="K859" t="s">
        <v>25</v>
      </c>
      <c r="L859" t="s">
        <v>26</v>
      </c>
      <c r="M859" t="s">
        <v>27</v>
      </c>
      <c r="N859" s="2">
        <v>45052</v>
      </c>
      <c r="O859" s="2">
        <v>45083.25</v>
      </c>
      <c r="P859" t="s">
        <v>55</v>
      </c>
      <c r="Q859" t="s">
        <v>29</v>
      </c>
      <c r="R859" t="s">
        <v>30</v>
      </c>
      <c r="S859">
        <v>10</v>
      </c>
      <c r="T859">
        <v>10</v>
      </c>
      <c r="U859" t="s">
        <v>68</v>
      </c>
      <c r="V859" t="str">
        <f t="shared" si="13"/>
        <v>May-2023</v>
      </c>
      <c r="W859" s="16">
        <f>Table1[[#This Row],[Consultation Date]] - Table1[[#This Row],[Appointment Date]]</f>
        <v>31.25</v>
      </c>
    </row>
    <row r="860" spans="1:23" x14ac:dyDescent="0.3">
      <c r="A860" t="s">
        <v>917</v>
      </c>
      <c r="B860">
        <v>17</v>
      </c>
      <c r="C860" t="s">
        <v>62</v>
      </c>
      <c r="D860" s="2">
        <v>45434</v>
      </c>
      <c r="E860" s="2">
        <v>45328</v>
      </c>
      <c r="F860">
        <v>11</v>
      </c>
      <c r="G860" t="s">
        <v>34</v>
      </c>
      <c r="H860">
        <v>5</v>
      </c>
      <c r="I860" t="s">
        <v>46</v>
      </c>
      <c r="J860">
        <v>49111</v>
      </c>
      <c r="K860" t="s">
        <v>60</v>
      </c>
      <c r="L860" t="s">
        <v>54</v>
      </c>
      <c r="M860" t="s">
        <v>41</v>
      </c>
      <c r="N860" s="2">
        <v>45432</v>
      </c>
      <c r="O860" s="2">
        <v>45432.041666666664</v>
      </c>
      <c r="P860" t="s">
        <v>42</v>
      </c>
      <c r="Q860" t="s">
        <v>29</v>
      </c>
      <c r="R860" t="s">
        <v>30</v>
      </c>
      <c r="S860">
        <v>10</v>
      </c>
      <c r="T860">
        <v>12</v>
      </c>
      <c r="U860" t="s">
        <v>48</v>
      </c>
      <c r="V860" t="str">
        <f t="shared" si="13"/>
        <v>May-2024</v>
      </c>
      <c r="W860" s="16">
        <f>Table1[[#This Row],[Consultation Date]] - Table1[[#This Row],[Appointment Date]]</f>
        <v>4.1666666664241347E-2</v>
      </c>
    </row>
    <row r="861" spans="1:23" x14ac:dyDescent="0.3">
      <c r="A861" t="s">
        <v>918</v>
      </c>
      <c r="B861">
        <v>86</v>
      </c>
      <c r="C861" t="s">
        <v>41</v>
      </c>
      <c r="D861" s="2">
        <v>45109</v>
      </c>
      <c r="E861" s="2">
        <v>45171</v>
      </c>
      <c r="F861">
        <v>2</v>
      </c>
      <c r="G861" t="s">
        <v>63</v>
      </c>
      <c r="H861">
        <v>2</v>
      </c>
      <c r="I861" t="s">
        <v>35</v>
      </c>
      <c r="J861">
        <v>29074</v>
      </c>
      <c r="K861" t="s">
        <v>25</v>
      </c>
      <c r="L861" t="s">
        <v>26</v>
      </c>
      <c r="M861" t="s">
        <v>27</v>
      </c>
      <c r="N861" s="2">
        <v>44987</v>
      </c>
      <c r="O861" s="2">
        <v>45018</v>
      </c>
      <c r="P861" t="s">
        <v>64</v>
      </c>
      <c r="Q861" t="s">
        <v>29</v>
      </c>
      <c r="R861" t="s">
        <v>30</v>
      </c>
      <c r="S861">
        <v>5</v>
      </c>
      <c r="T861">
        <v>8</v>
      </c>
      <c r="U861" t="s">
        <v>48</v>
      </c>
      <c r="V861" t="str">
        <f t="shared" si="13"/>
        <v>Jul-2023</v>
      </c>
      <c r="W861" s="16">
        <f>Table1[[#This Row],[Consultation Date]] - Table1[[#This Row],[Appointment Date]]</f>
        <v>31</v>
      </c>
    </row>
    <row r="862" spans="1:23" x14ac:dyDescent="0.3">
      <c r="A862" t="s">
        <v>919</v>
      </c>
      <c r="B862">
        <v>44</v>
      </c>
      <c r="C862" t="s">
        <v>41</v>
      </c>
      <c r="D862" s="2">
        <v>45204</v>
      </c>
      <c r="E862" s="2">
        <v>45069</v>
      </c>
      <c r="F862">
        <v>13</v>
      </c>
      <c r="G862" t="s">
        <v>63</v>
      </c>
      <c r="H862">
        <v>5</v>
      </c>
      <c r="I862" t="s">
        <v>46</v>
      </c>
      <c r="J862">
        <v>22824</v>
      </c>
      <c r="K862" t="s">
        <v>67</v>
      </c>
      <c r="L862" t="s">
        <v>26</v>
      </c>
      <c r="M862" t="s">
        <v>27</v>
      </c>
      <c r="N862" s="2">
        <v>45082</v>
      </c>
      <c r="O862" s="2">
        <v>45082.541666666664</v>
      </c>
      <c r="P862" t="s">
        <v>55</v>
      </c>
      <c r="Q862" t="s">
        <v>29</v>
      </c>
      <c r="R862" t="s">
        <v>47</v>
      </c>
      <c r="S862">
        <v>6</v>
      </c>
      <c r="T862">
        <v>12</v>
      </c>
      <c r="U862" t="s">
        <v>48</v>
      </c>
      <c r="V862" t="str">
        <f t="shared" si="13"/>
        <v>Oct-2023</v>
      </c>
      <c r="W862" s="16">
        <f>Table1[[#This Row],[Consultation Date]] - Table1[[#This Row],[Appointment Date]]</f>
        <v>0.54166666666424135</v>
      </c>
    </row>
    <row r="863" spans="1:23" x14ac:dyDescent="0.3">
      <c r="A863" t="s">
        <v>920</v>
      </c>
      <c r="B863">
        <v>25</v>
      </c>
      <c r="C863" t="s">
        <v>45</v>
      </c>
      <c r="D863" s="2">
        <v>45441</v>
      </c>
      <c r="E863" s="2">
        <v>45510</v>
      </c>
      <c r="F863">
        <v>10</v>
      </c>
      <c r="G863" t="s">
        <v>34</v>
      </c>
      <c r="H863">
        <v>4</v>
      </c>
      <c r="I863" t="s">
        <v>24</v>
      </c>
      <c r="J863">
        <v>5765</v>
      </c>
      <c r="K863" t="s">
        <v>67</v>
      </c>
      <c r="L863" t="s">
        <v>54</v>
      </c>
      <c r="M863" t="s">
        <v>27</v>
      </c>
      <c r="N863" s="2">
        <v>45437</v>
      </c>
      <c r="O863" s="2">
        <v>45437.791666666664</v>
      </c>
      <c r="P863" t="s">
        <v>37</v>
      </c>
      <c r="Q863" t="s">
        <v>29</v>
      </c>
      <c r="R863" t="s">
        <v>43</v>
      </c>
      <c r="S863">
        <v>10</v>
      </c>
      <c r="T863">
        <v>8</v>
      </c>
      <c r="U863" t="s">
        <v>68</v>
      </c>
      <c r="V863" t="str">
        <f t="shared" si="13"/>
        <v>May-2024</v>
      </c>
      <c r="W863" s="16">
        <f>Table1[[#This Row],[Consultation Date]] - Table1[[#This Row],[Appointment Date]]</f>
        <v>0.79166666666424135</v>
      </c>
    </row>
    <row r="864" spans="1:23" x14ac:dyDescent="0.3">
      <c r="A864" t="s">
        <v>921</v>
      </c>
      <c r="B864">
        <v>17</v>
      </c>
      <c r="C864" t="s">
        <v>62</v>
      </c>
      <c r="D864" s="2">
        <v>45089</v>
      </c>
      <c r="E864" s="2">
        <v>45278</v>
      </c>
      <c r="F864">
        <v>12</v>
      </c>
      <c r="G864" t="s">
        <v>57</v>
      </c>
      <c r="H864">
        <v>5</v>
      </c>
      <c r="I864" t="s">
        <v>24</v>
      </c>
      <c r="J864">
        <v>36615</v>
      </c>
      <c r="K864" t="s">
        <v>25</v>
      </c>
      <c r="L864" t="s">
        <v>54</v>
      </c>
      <c r="M864" t="s">
        <v>27</v>
      </c>
      <c r="N864" s="2">
        <v>44938</v>
      </c>
      <c r="O864" s="2">
        <v>44969.541666666664</v>
      </c>
      <c r="P864" t="s">
        <v>64</v>
      </c>
      <c r="Q864" t="s">
        <v>29</v>
      </c>
      <c r="R864" t="s">
        <v>47</v>
      </c>
      <c r="S864">
        <v>7</v>
      </c>
      <c r="T864">
        <v>10</v>
      </c>
      <c r="U864" t="s">
        <v>68</v>
      </c>
      <c r="V864" t="str">
        <f t="shared" si="13"/>
        <v>Jun-2023</v>
      </c>
      <c r="W864" s="16">
        <f>Table1[[#This Row],[Consultation Date]] - Table1[[#This Row],[Appointment Date]]</f>
        <v>31.541666666664241</v>
      </c>
    </row>
    <row r="865" spans="1:23" x14ac:dyDescent="0.3">
      <c r="A865" t="s">
        <v>922</v>
      </c>
      <c r="B865">
        <v>13</v>
      </c>
      <c r="C865" t="s">
        <v>52</v>
      </c>
      <c r="D865" s="2">
        <v>45029</v>
      </c>
      <c r="E865" s="2">
        <v>45042</v>
      </c>
      <c r="F865">
        <v>13</v>
      </c>
      <c r="G865" t="s">
        <v>34</v>
      </c>
      <c r="H865">
        <v>5</v>
      </c>
      <c r="I865" t="s">
        <v>71</v>
      </c>
      <c r="J865">
        <v>41860</v>
      </c>
      <c r="K865" t="s">
        <v>25</v>
      </c>
      <c r="L865" t="s">
        <v>26</v>
      </c>
      <c r="M865" t="s">
        <v>27</v>
      </c>
      <c r="N865" s="2">
        <v>45203</v>
      </c>
      <c r="O865" s="2">
        <v>45203.833333333336</v>
      </c>
      <c r="P865" t="s">
        <v>55</v>
      </c>
      <c r="Q865" t="s">
        <v>29</v>
      </c>
      <c r="R865" t="s">
        <v>30</v>
      </c>
      <c r="S865">
        <v>8</v>
      </c>
      <c r="T865">
        <v>8</v>
      </c>
      <c r="U865" t="s">
        <v>31</v>
      </c>
      <c r="V865" t="str">
        <f t="shared" si="13"/>
        <v>Apr-2023</v>
      </c>
      <c r="W865" s="16">
        <f>Table1[[#This Row],[Consultation Date]] - Table1[[#This Row],[Appointment Date]]</f>
        <v>0.83333333333575865</v>
      </c>
    </row>
    <row r="866" spans="1:23" x14ac:dyDescent="0.3">
      <c r="A866" t="s">
        <v>923</v>
      </c>
      <c r="B866">
        <v>84</v>
      </c>
      <c r="C866" t="s">
        <v>22</v>
      </c>
      <c r="D866" s="2">
        <v>45377</v>
      </c>
      <c r="E866" s="2">
        <v>45295</v>
      </c>
      <c r="F866">
        <v>6</v>
      </c>
      <c r="G866" t="s">
        <v>57</v>
      </c>
      <c r="H866">
        <v>5</v>
      </c>
      <c r="I866" t="s">
        <v>46</v>
      </c>
      <c r="J866">
        <v>17975</v>
      </c>
      <c r="K866" t="s">
        <v>67</v>
      </c>
      <c r="L866" t="s">
        <v>26</v>
      </c>
      <c r="M866" t="s">
        <v>27</v>
      </c>
      <c r="N866" s="2">
        <v>45375</v>
      </c>
      <c r="O866" s="2">
        <v>45377</v>
      </c>
      <c r="P866" t="s">
        <v>64</v>
      </c>
      <c r="Q866" t="s">
        <v>29</v>
      </c>
      <c r="R866" t="s">
        <v>30</v>
      </c>
      <c r="S866">
        <v>8</v>
      </c>
      <c r="T866">
        <v>12</v>
      </c>
      <c r="U866" t="s">
        <v>31</v>
      </c>
      <c r="V866" t="str">
        <f t="shared" si="13"/>
        <v>Mar-2024</v>
      </c>
      <c r="W866" s="16">
        <f>Table1[[#This Row],[Consultation Date]] - Table1[[#This Row],[Appointment Date]]</f>
        <v>2</v>
      </c>
    </row>
    <row r="867" spans="1:23" x14ac:dyDescent="0.3">
      <c r="A867" t="s">
        <v>924</v>
      </c>
      <c r="B867">
        <v>25</v>
      </c>
      <c r="C867" t="s">
        <v>33</v>
      </c>
      <c r="D867" s="2">
        <v>45029</v>
      </c>
      <c r="E867" s="2">
        <v>45032</v>
      </c>
      <c r="F867">
        <v>3</v>
      </c>
      <c r="G867" t="s">
        <v>40</v>
      </c>
      <c r="H867">
        <v>4</v>
      </c>
      <c r="I867" t="s">
        <v>71</v>
      </c>
      <c r="J867">
        <v>14341</v>
      </c>
      <c r="K867" t="s">
        <v>25</v>
      </c>
      <c r="L867" t="s">
        <v>54</v>
      </c>
      <c r="M867" t="s">
        <v>41</v>
      </c>
      <c r="N867" s="2">
        <v>45264</v>
      </c>
      <c r="O867" s="2">
        <v>45029.666666666664</v>
      </c>
      <c r="P867" t="s">
        <v>28</v>
      </c>
      <c r="Q867" t="s">
        <v>38</v>
      </c>
      <c r="R867" t="s">
        <v>43</v>
      </c>
      <c r="S867">
        <v>11</v>
      </c>
      <c r="T867">
        <v>12</v>
      </c>
      <c r="U867" t="s">
        <v>31</v>
      </c>
      <c r="V867" t="str">
        <f t="shared" si="13"/>
        <v>Apr-2023</v>
      </c>
      <c r="W867" s="16">
        <f>Table1[[#This Row],[Consultation Date]] - Table1[[#This Row],[Appointment Date]]</f>
        <v>-234.33333333333576</v>
      </c>
    </row>
    <row r="868" spans="1:23" x14ac:dyDescent="0.3">
      <c r="A868" t="s">
        <v>925</v>
      </c>
      <c r="B868">
        <v>68</v>
      </c>
      <c r="C868" t="s">
        <v>52</v>
      </c>
      <c r="D868" s="2">
        <v>45465</v>
      </c>
      <c r="E868" s="2">
        <v>45466</v>
      </c>
      <c r="F868">
        <v>1</v>
      </c>
      <c r="G868" t="s">
        <v>34</v>
      </c>
      <c r="H868">
        <v>5</v>
      </c>
      <c r="I868" t="s">
        <v>71</v>
      </c>
      <c r="J868">
        <v>33141</v>
      </c>
      <c r="K868" t="s">
        <v>25</v>
      </c>
      <c r="L868" t="s">
        <v>26</v>
      </c>
      <c r="M868" t="s">
        <v>27</v>
      </c>
      <c r="N868" s="2">
        <v>45464</v>
      </c>
      <c r="O868" s="2">
        <v>45464.666666666664</v>
      </c>
      <c r="P868" t="s">
        <v>28</v>
      </c>
      <c r="Q868" t="s">
        <v>29</v>
      </c>
      <c r="R868" t="s">
        <v>43</v>
      </c>
      <c r="S868">
        <v>4</v>
      </c>
      <c r="T868">
        <v>10</v>
      </c>
      <c r="U868" t="s">
        <v>31</v>
      </c>
      <c r="V868" t="str">
        <f t="shared" si="13"/>
        <v>Jun-2024</v>
      </c>
      <c r="W868" s="16">
        <f>Table1[[#This Row],[Consultation Date]] - Table1[[#This Row],[Appointment Date]]</f>
        <v>0.66666666666424135</v>
      </c>
    </row>
    <row r="869" spans="1:23" x14ac:dyDescent="0.3">
      <c r="A869" t="s">
        <v>926</v>
      </c>
      <c r="B869">
        <v>10</v>
      </c>
      <c r="C869" t="s">
        <v>45</v>
      </c>
      <c r="D869" s="2">
        <v>45630</v>
      </c>
      <c r="E869" s="2">
        <v>45400</v>
      </c>
      <c r="F869">
        <v>6</v>
      </c>
      <c r="G869" t="s">
        <v>57</v>
      </c>
      <c r="H869">
        <v>4</v>
      </c>
      <c r="I869" t="s">
        <v>24</v>
      </c>
      <c r="J869">
        <v>17334</v>
      </c>
      <c r="K869" t="s">
        <v>60</v>
      </c>
      <c r="L869" t="s">
        <v>26</v>
      </c>
      <c r="M869" t="s">
        <v>27</v>
      </c>
      <c r="N869" s="2">
        <v>45569</v>
      </c>
      <c r="O869" s="2">
        <v>45600.25</v>
      </c>
      <c r="P869" t="s">
        <v>28</v>
      </c>
      <c r="Q869" t="s">
        <v>29</v>
      </c>
      <c r="R869" t="s">
        <v>47</v>
      </c>
      <c r="S869">
        <v>10</v>
      </c>
      <c r="T869">
        <v>12</v>
      </c>
      <c r="U869" t="s">
        <v>31</v>
      </c>
      <c r="V869" t="str">
        <f t="shared" si="13"/>
        <v>Dec-2024</v>
      </c>
      <c r="W869" s="16">
        <f>Table1[[#This Row],[Consultation Date]] - Table1[[#This Row],[Appointment Date]]</f>
        <v>31.25</v>
      </c>
    </row>
    <row r="870" spans="1:23" x14ac:dyDescent="0.3">
      <c r="A870" t="s">
        <v>927</v>
      </c>
      <c r="B870">
        <v>67</v>
      </c>
      <c r="C870" t="s">
        <v>33</v>
      </c>
      <c r="D870" s="2">
        <v>44942</v>
      </c>
      <c r="E870" s="2">
        <v>44951</v>
      </c>
      <c r="F870">
        <v>9</v>
      </c>
      <c r="G870" t="s">
        <v>34</v>
      </c>
      <c r="H870">
        <v>2</v>
      </c>
      <c r="I870" t="s">
        <v>71</v>
      </c>
      <c r="J870">
        <v>20835</v>
      </c>
      <c r="K870" t="s">
        <v>53</v>
      </c>
      <c r="L870" t="s">
        <v>54</v>
      </c>
      <c r="M870" t="s">
        <v>27</v>
      </c>
      <c r="N870" s="2">
        <v>44941</v>
      </c>
      <c r="O870" s="2">
        <v>44942</v>
      </c>
      <c r="P870" t="s">
        <v>37</v>
      </c>
      <c r="Q870" t="s">
        <v>29</v>
      </c>
      <c r="R870" t="s">
        <v>47</v>
      </c>
      <c r="S870">
        <v>11</v>
      </c>
      <c r="T870">
        <v>12</v>
      </c>
      <c r="U870" t="s">
        <v>68</v>
      </c>
      <c r="V870" t="str">
        <f t="shared" si="13"/>
        <v>Jan-2023</v>
      </c>
      <c r="W870" s="16">
        <f>Table1[[#This Row],[Consultation Date]] - Table1[[#This Row],[Appointment Date]]</f>
        <v>1</v>
      </c>
    </row>
    <row r="871" spans="1:23" x14ac:dyDescent="0.3">
      <c r="A871" t="s">
        <v>928</v>
      </c>
      <c r="B871">
        <v>18</v>
      </c>
      <c r="C871" t="s">
        <v>22</v>
      </c>
      <c r="D871" s="2">
        <v>45074</v>
      </c>
      <c r="E871" s="2">
        <v>44991</v>
      </c>
      <c r="F871">
        <v>6</v>
      </c>
      <c r="G871" t="s">
        <v>34</v>
      </c>
      <c r="H871">
        <v>1</v>
      </c>
      <c r="I871" t="s">
        <v>24</v>
      </c>
      <c r="J871">
        <v>31548</v>
      </c>
      <c r="K871" t="s">
        <v>67</v>
      </c>
      <c r="L871" t="s">
        <v>26</v>
      </c>
      <c r="M871" t="s">
        <v>27</v>
      </c>
      <c r="N871" s="2">
        <v>45071</v>
      </c>
      <c r="O871" s="2">
        <v>45072.583333333336</v>
      </c>
      <c r="P871" t="s">
        <v>28</v>
      </c>
      <c r="Q871" t="s">
        <v>29</v>
      </c>
      <c r="R871" t="s">
        <v>43</v>
      </c>
      <c r="S871">
        <v>11</v>
      </c>
      <c r="T871">
        <v>10</v>
      </c>
      <c r="U871" t="s">
        <v>68</v>
      </c>
      <c r="V871" t="str">
        <f t="shared" si="13"/>
        <v>May-2023</v>
      </c>
      <c r="W871" s="16">
        <f>Table1[[#This Row],[Consultation Date]] - Table1[[#This Row],[Appointment Date]]</f>
        <v>1.5833333333357587</v>
      </c>
    </row>
    <row r="872" spans="1:23" x14ac:dyDescent="0.3">
      <c r="A872" t="s">
        <v>929</v>
      </c>
      <c r="B872">
        <v>86</v>
      </c>
      <c r="C872" t="s">
        <v>22</v>
      </c>
      <c r="D872" s="2">
        <v>45346</v>
      </c>
      <c r="E872" s="2">
        <v>45538</v>
      </c>
      <c r="F872">
        <v>14</v>
      </c>
      <c r="G872" t="s">
        <v>57</v>
      </c>
      <c r="H872">
        <v>2</v>
      </c>
      <c r="I872" t="s">
        <v>35</v>
      </c>
      <c r="J872">
        <v>40434</v>
      </c>
      <c r="K872" t="s">
        <v>60</v>
      </c>
      <c r="L872" t="s">
        <v>54</v>
      </c>
      <c r="M872" t="s">
        <v>41</v>
      </c>
      <c r="N872" s="2">
        <v>45342</v>
      </c>
      <c r="O872" s="2">
        <v>45343.333333333336</v>
      </c>
      <c r="P872" t="s">
        <v>37</v>
      </c>
      <c r="Q872" t="s">
        <v>29</v>
      </c>
      <c r="R872" t="s">
        <v>47</v>
      </c>
      <c r="S872">
        <v>5</v>
      </c>
      <c r="T872">
        <v>10</v>
      </c>
      <c r="U872" t="s">
        <v>48</v>
      </c>
      <c r="V872" t="str">
        <f t="shared" si="13"/>
        <v>Feb-2024</v>
      </c>
      <c r="W872" s="16">
        <f>Table1[[#This Row],[Consultation Date]] - Table1[[#This Row],[Appointment Date]]</f>
        <v>1.3333333333357587</v>
      </c>
    </row>
    <row r="873" spans="1:23" x14ac:dyDescent="0.3">
      <c r="A873" t="s">
        <v>930</v>
      </c>
      <c r="B873">
        <v>34</v>
      </c>
      <c r="C873" t="s">
        <v>62</v>
      </c>
      <c r="D873" s="2">
        <v>45144</v>
      </c>
      <c r="E873" s="2">
        <v>45096</v>
      </c>
      <c r="F873">
        <v>11</v>
      </c>
      <c r="G873" t="s">
        <v>57</v>
      </c>
      <c r="H873">
        <v>1</v>
      </c>
      <c r="I873" t="s">
        <v>46</v>
      </c>
      <c r="J873">
        <v>30039</v>
      </c>
      <c r="K873" t="s">
        <v>53</v>
      </c>
      <c r="L873" t="s">
        <v>54</v>
      </c>
      <c r="M873" t="s">
        <v>27</v>
      </c>
      <c r="N873" s="2">
        <v>45113</v>
      </c>
      <c r="O873" s="2">
        <v>45113.541666666664</v>
      </c>
      <c r="P873" t="s">
        <v>28</v>
      </c>
      <c r="Q873" t="s">
        <v>38</v>
      </c>
      <c r="R873" t="s">
        <v>30</v>
      </c>
      <c r="S873">
        <v>4</v>
      </c>
      <c r="T873">
        <v>8</v>
      </c>
      <c r="U873" t="s">
        <v>48</v>
      </c>
      <c r="V873" t="str">
        <f t="shared" si="13"/>
        <v>Aug-2023</v>
      </c>
      <c r="W873" s="16">
        <f>Table1[[#This Row],[Consultation Date]] - Table1[[#This Row],[Appointment Date]]</f>
        <v>0.54166666666424135</v>
      </c>
    </row>
    <row r="874" spans="1:23" x14ac:dyDescent="0.3">
      <c r="A874" t="s">
        <v>931</v>
      </c>
      <c r="B874">
        <v>8</v>
      </c>
      <c r="C874" t="s">
        <v>33</v>
      </c>
      <c r="D874" s="2">
        <v>45003</v>
      </c>
      <c r="E874" s="2">
        <v>45006</v>
      </c>
      <c r="F874">
        <v>3</v>
      </c>
      <c r="G874" t="s">
        <v>50</v>
      </c>
      <c r="H874">
        <v>2</v>
      </c>
      <c r="I874" t="s">
        <v>71</v>
      </c>
      <c r="J874">
        <v>37530</v>
      </c>
      <c r="K874" t="s">
        <v>25</v>
      </c>
      <c r="L874" t="s">
        <v>26</v>
      </c>
      <c r="M874" t="s">
        <v>27</v>
      </c>
      <c r="N874" s="2">
        <v>45000</v>
      </c>
      <c r="O874" s="2">
        <v>45001.958333333336</v>
      </c>
      <c r="P874" t="s">
        <v>64</v>
      </c>
      <c r="Q874" t="s">
        <v>29</v>
      </c>
      <c r="R874" t="s">
        <v>30</v>
      </c>
      <c r="S874">
        <v>9</v>
      </c>
      <c r="T874">
        <v>10</v>
      </c>
      <c r="U874" t="s">
        <v>48</v>
      </c>
      <c r="V874" t="str">
        <f t="shared" si="13"/>
        <v>Mar-2023</v>
      </c>
      <c r="W874" s="16">
        <f>Table1[[#This Row],[Consultation Date]] - Table1[[#This Row],[Appointment Date]]</f>
        <v>1.9583333333357587</v>
      </c>
    </row>
    <row r="875" spans="1:23" x14ac:dyDescent="0.3">
      <c r="A875" t="s">
        <v>932</v>
      </c>
      <c r="B875">
        <v>40</v>
      </c>
      <c r="C875" t="s">
        <v>62</v>
      </c>
      <c r="D875" s="2">
        <v>45407</v>
      </c>
      <c r="E875" s="2">
        <v>45540</v>
      </c>
      <c r="F875">
        <v>14</v>
      </c>
      <c r="G875" t="s">
        <v>34</v>
      </c>
      <c r="H875">
        <v>1</v>
      </c>
      <c r="I875" t="s">
        <v>24</v>
      </c>
      <c r="J875">
        <v>43736</v>
      </c>
      <c r="K875" t="s">
        <v>25</v>
      </c>
      <c r="L875" t="s">
        <v>26</v>
      </c>
      <c r="M875" t="s">
        <v>41</v>
      </c>
      <c r="N875" s="2">
        <v>45403</v>
      </c>
      <c r="O875" s="2">
        <v>45404.458333333336</v>
      </c>
      <c r="P875" t="s">
        <v>55</v>
      </c>
      <c r="Q875" t="s">
        <v>29</v>
      </c>
      <c r="R875" t="s">
        <v>43</v>
      </c>
      <c r="S875">
        <v>6</v>
      </c>
      <c r="T875">
        <v>12</v>
      </c>
      <c r="U875" t="s">
        <v>48</v>
      </c>
      <c r="V875" t="str">
        <f t="shared" si="13"/>
        <v>Apr-2024</v>
      </c>
      <c r="W875" s="16">
        <f>Table1[[#This Row],[Consultation Date]] - Table1[[#This Row],[Appointment Date]]</f>
        <v>1.4583333333357587</v>
      </c>
    </row>
    <row r="876" spans="1:23" x14ac:dyDescent="0.3">
      <c r="A876" t="s">
        <v>933</v>
      </c>
      <c r="B876">
        <v>83</v>
      </c>
      <c r="C876" t="s">
        <v>52</v>
      </c>
      <c r="D876" s="2">
        <v>45198</v>
      </c>
      <c r="E876" s="2">
        <v>45270</v>
      </c>
      <c r="F876">
        <v>13</v>
      </c>
      <c r="G876" t="s">
        <v>63</v>
      </c>
      <c r="H876">
        <v>1</v>
      </c>
      <c r="I876" t="s">
        <v>66</v>
      </c>
      <c r="J876">
        <v>45409</v>
      </c>
      <c r="K876" t="s">
        <v>60</v>
      </c>
      <c r="L876" t="s">
        <v>54</v>
      </c>
      <c r="M876" t="s">
        <v>27</v>
      </c>
      <c r="N876" s="2">
        <v>45193</v>
      </c>
      <c r="O876" s="2">
        <v>45193.666666666664</v>
      </c>
      <c r="P876" t="s">
        <v>55</v>
      </c>
      <c r="Q876" t="s">
        <v>29</v>
      </c>
      <c r="R876" t="s">
        <v>47</v>
      </c>
      <c r="S876">
        <v>7</v>
      </c>
      <c r="T876">
        <v>10</v>
      </c>
      <c r="U876" t="s">
        <v>68</v>
      </c>
      <c r="V876" t="str">
        <f t="shared" si="13"/>
        <v>Sep-2023</v>
      </c>
      <c r="W876" s="16">
        <f>Table1[[#This Row],[Consultation Date]] - Table1[[#This Row],[Appointment Date]]</f>
        <v>0.66666666666424135</v>
      </c>
    </row>
    <row r="877" spans="1:23" x14ac:dyDescent="0.3">
      <c r="A877" t="s">
        <v>934</v>
      </c>
      <c r="B877">
        <v>42</v>
      </c>
      <c r="C877" t="s">
        <v>41</v>
      </c>
      <c r="D877" s="2">
        <v>45273</v>
      </c>
      <c r="E877" s="2">
        <v>45284</v>
      </c>
      <c r="F877">
        <v>11</v>
      </c>
      <c r="G877" t="s">
        <v>34</v>
      </c>
      <c r="H877">
        <v>3</v>
      </c>
      <c r="I877" t="s">
        <v>71</v>
      </c>
      <c r="J877">
        <v>23565</v>
      </c>
      <c r="K877" t="s">
        <v>25</v>
      </c>
      <c r="L877" t="s">
        <v>54</v>
      </c>
      <c r="M877" t="s">
        <v>41</v>
      </c>
      <c r="N877" s="2">
        <v>45150</v>
      </c>
      <c r="O877" s="2">
        <v>45150.416666666664</v>
      </c>
      <c r="P877" t="s">
        <v>28</v>
      </c>
      <c r="Q877" t="s">
        <v>29</v>
      </c>
      <c r="R877" t="s">
        <v>30</v>
      </c>
      <c r="S877">
        <v>10</v>
      </c>
      <c r="T877">
        <v>12</v>
      </c>
      <c r="U877" t="s">
        <v>68</v>
      </c>
      <c r="V877" t="str">
        <f t="shared" si="13"/>
        <v>Dec-2023</v>
      </c>
      <c r="W877" s="16">
        <f>Table1[[#This Row],[Consultation Date]] - Table1[[#This Row],[Appointment Date]]</f>
        <v>0.41666666666424135</v>
      </c>
    </row>
    <row r="878" spans="1:23" x14ac:dyDescent="0.3">
      <c r="A878" t="s">
        <v>935</v>
      </c>
      <c r="B878">
        <v>41</v>
      </c>
      <c r="C878" t="s">
        <v>41</v>
      </c>
      <c r="D878" s="2">
        <v>45628</v>
      </c>
      <c r="E878" s="2">
        <v>45342</v>
      </c>
      <c r="F878">
        <v>8</v>
      </c>
      <c r="G878" t="s">
        <v>34</v>
      </c>
      <c r="H878">
        <v>1</v>
      </c>
      <c r="I878" t="s">
        <v>35</v>
      </c>
      <c r="J878">
        <v>14834</v>
      </c>
      <c r="K878" t="s">
        <v>36</v>
      </c>
      <c r="L878" t="s">
        <v>54</v>
      </c>
      <c r="M878" t="s">
        <v>27</v>
      </c>
      <c r="N878" s="2">
        <v>45567</v>
      </c>
      <c r="O878" s="2">
        <v>45567.041666666664</v>
      </c>
      <c r="P878" t="s">
        <v>55</v>
      </c>
      <c r="Q878" t="s">
        <v>29</v>
      </c>
      <c r="R878" t="s">
        <v>43</v>
      </c>
      <c r="S878">
        <v>8</v>
      </c>
      <c r="T878">
        <v>8</v>
      </c>
      <c r="U878" t="s">
        <v>68</v>
      </c>
      <c r="V878" t="str">
        <f t="shared" si="13"/>
        <v>Dec-2024</v>
      </c>
      <c r="W878" s="16">
        <f>Table1[[#This Row],[Consultation Date]] - Table1[[#This Row],[Appointment Date]]</f>
        <v>4.1666666664241347E-2</v>
      </c>
    </row>
    <row r="879" spans="1:23" x14ac:dyDescent="0.3">
      <c r="A879" t="s">
        <v>936</v>
      </c>
      <c r="B879">
        <v>6</v>
      </c>
      <c r="C879" t="s">
        <v>41</v>
      </c>
      <c r="D879" s="2">
        <v>45009</v>
      </c>
      <c r="E879" s="2">
        <v>45050</v>
      </c>
      <c r="F879">
        <v>12</v>
      </c>
      <c r="G879" t="s">
        <v>57</v>
      </c>
      <c r="H879">
        <v>1</v>
      </c>
      <c r="I879" t="s">
        <v>35</v>
      </c>
      <c r="J879">
        <v>41656</v>
      </c>
      <c r="K879" t="s">
        <v>60</v>
      </c>
      <c r="L879" t="s">
        <v>26</v>
      </c>
      <c r="M879" t="s">
        <v>27</v>
      </c>
      <c r="N879" s="2">
        <v>45007</v>
      </c>
      <c r="O879" s="2">
        <v>45008.125</v>
      </c>
      <c r="P879" t="s">
        <v>28</v>
      </c>
      <c r="Q879" t="s">
        <v>29</v>
      </c>
      <c r="R879" t="s">
        <v>47</v>
      </c>
      <c r="S879">
        <v>5</v>
      </c>
      <c r="T879">
        <v>10</v>
      </c>
      <c r="U879" t="s">
        <v>31</v>
      </c>
      <c r="V879" t="str">
        <f t="shared" si="13"/>
        <v>Mar-2023</v>
      </c>
      <c r="W879" s="16">
        <f>Table1[[#This Row],[Consultation Date]] - Table1[[#This Row],[Appointment Date]]</f>
        <v>1.125</v>
      </c>
    </row>
    <row r="880" spans="1:23" x14ac:dyDescent="0.3">
      <c r="A880" t="s">
        <v>937</v>
      </c>
      <c r="B880">
        <v>52</v>
      </c>
      <c r="C880" t="s">
        <v>33</v>
      </c>
      <c r="D880" s="2">
        <v>44997</v>
      </c>
      <c r="E880" s="2">
        <v>45242</v>
      </c>
      <c r="F880">
        <v>8</v>
      </c>
      <c r="G880" t="s">
        <v>34</v>
      </c>
      <c r="H880">
        <v>3</v>
      </c>
      <c r="I880" t="s">
        <v>66</v>
      </c>
      <c r="J880">
        <v>5840</v>
      </c>
      <c r="K880" t="s">
        <v>53</v>
      </c>
      <c r="L880" t="s">
        <v>26</v>
      </c>
      <c r="M880" t="s">
        <v>27</v>
      </c>
      <c r="N880" s="2">
        <v>45260</v>
      </c>
      <c r="O880" s="2">
        <v>45260.083333333336</v>
      </c>
      <c r="P880" t="s">
        <v>28</v>
      </c>
      <c r="Q880" t="s">
        <v>29</v>
      </c>
      <c r="R880" t="s">
        <v>30</v>
      </c>
      <c r="S880">
        <v>8</v>
      </c>
      <c r="T880">
        <v>12</v>
      </c>
      <c r="U880" t="s">
        <v>31</v>
      </c>
      <c r="V880" t="str">
        <f t="shared" si="13"/>
        <v>Mar-2023</v>
      </c>
      <c r="W880" s="16">
        <f>Table1[[#This Row],[Consultation Date]] - Table1[[#This Row],[Appointment Date]]</f>
        <v>8.3333333335758653E-2</v>
      </c>
    </row>
    <row r="881" spans="1:23" x14ac:dyDescent="0.3">
      <c r="A881" t="s">
        <v>938</v>
      </c>
      <c r="B881">
        <v>26</v>
      </c>
      <c r="C881" t="s">
        <v>41</v>
      </c>
      <c r="D881" s="2">
        <v>45316</v>
      </c>
      <c r="E881" s="2">
        <v>45414</v>
      </c>
      <c r="F881">
        <v>11</v>
      </c>
      <c r="G881" t="s">
        <v>23</v>
      </c>
      <c r="H881">
        <v>5</v>
      </c>
      <c r="I881" t="s">
        <v>24</v>
      </c>
      <c r="J881">
        <v>18873</v>
      </c>
      <c r="K881" t="s">
        <v>60</v>
      </c>
      <c r="L881" t="s">
        <v>26</v>
      </c>
      <c r="M881" t="s">
        <v>27</v>
      </c>
      <c r="N881" s="2">
        <v>45311</v>
      </c>
      <c r="O881" s="2">
        <v>45311.625</v>
      </c>
      <c r="P881" t="s">
        <v>42</v>
      </c>
      <c r="Q881" t="s">
        <v>29</v>
      </c>
      <c r="R881" t="s">
        <v>47</v>
      </c>
      <c r="S881">
        <v>10</v>
      </c>
      <c r="T881">
        <v>10</v>
      </c>
      <c r="U881" t="s">
        <v>48</v>
      </c>
      <c r="V881" t="str">
        <f t="shared" si="13"/>
        <v>Jan-2024</v>
      </c>
      <c r="W881" s="16">
        <f>Table1[[#This Row],[Consultation Date]] - Table1[[#This Row],[Appointment Date]]</f>
        <v>0.625</v>
      </c>
    </row>
    <row r="882" spans="1:23" x14ac:dyDescent="0.3">
      <c r="A882" t="s">
        <v>939</v>
      </c>
      <c r="B882">
        <v>64</v>
      </c>
      <c r="C882" t="s">
        <v>52</v>
      </c>
      <c r="D882" s="2">
        <v>45251</v>
      </c>
      <c r="E882" s="2">
        <v>45254</v>
      </c>
      <c r="F882">
        <v>3</v>
      </c>
      <c r="G882" t="s">
        <v>34</v>
      </c>
      <c r="H882">
        <v>5</v>
      </c>
      <c r="I882" t="s">
        <v>71</v>
      </c>
      <c r="J882">
        <v>36568</v>
      </c>
      <c r="K882" t="s">
        <v>67</v>
      </c>
      <c r="L882" t="s">
        <v>26</v>
      </c>
      <c r="M882" t="s">
        <v>27</v>
      </c>
      <c r="N882" s="2">
        <v>45246</v>
      </c>
      <c r="O882" s="2">
        <v>45247.458333333336</v>
      </c>
      <c r="P882" t="s">
        <v>42</v>
      </c>
      <c r="Q882" t="s">
        <v>29</v>
      </c>
      <c r="R882" t="s">
        <v>47</v>
      </c>
      <c r="S882">
        <v>9</v>
      </c>
      <c r="T882">
        <v>10</v>
      </c>
      <c r="U882" t="s">
        <v>31</v>
      </c>
      <c r="V882" t="str">
        <f t="shared" si="13"/>
        <v>Nov-2023</v>
      </c>
      <c r="W882" s="16">
        <f>Table1[[#This Row],[Consultation Date]] - Table1[[#This Row],[Appointment Date]]</f>
        <v>1.4583333333357587</v>
      </c>
    </row>
    <row r="883" spans="1:23" x14ac:dyDescent="0.3">
      <c r="A883" t="s">
        <v>940</v>
      </c>
      <c r="B883">
        <v>59</v>
      </c>
      <c r="C883" t="s">
        <v>62</v>
      </c>
      <c r="D883" s="2">
        <v>45426</v>
      </c>
      <c r="E883" s="2">
        <v>45439</v>
      </c>
      <c r="F883">
        <v>13</v>
      </c>
      <c r="G883" t="s">
        <v>23</v>
      </c>
      <c r="H883">
        <v>3</v>
      </c>
      <c r="I883" t="s">
        <v>24</v>
      </c>
      <c r="J883">
        <v>15846</v>
      </c>
      <c r="K883" t="s">
        <v>60</v>
      </c>
      <c r="L883" t="s">
        <v>54</v>
      </c>
      <c r="M883" t="s">
        <v>27</v>
      </c>
      <c r="N883" s="2">
        <v>45540</v>
      </c>
      <c r="O883" s="2">
        <v>45540.958333333336</v>
      </c>
      <c r="P883" t="s">
        <v>42</v>
      </c>
      <c r="Q883" t="s">
        <v>29</v>
      </c>
      <c r="R883" t="s">
        <v>47</v>
      </c>
      <c r="S883">
        <v>4</v>
      </c>
      <c r="T883">
        <v>10</v>
      </c>
      <c r="U883" t="s">
        <v>68</v>
      </c>
      <c r="V883" t="str">
        <f t="shared" si="13"/>
        <v>May-2024</v>
      </c>
      <c r="W883" s="16">
        <f>Table1[[#This Row],[Consultation Date]] - Table1[[#This Row],[Appointment Date]]</f>
        <v>0.95833333333575865</v>
      </c>
    </row>
    <row r="884" spans="1:23" x14ac:dyDescent="0.3">
      <c r="A884" t="s">
        <v>941</v>
      </c>
      <c r="B884">
        <v>56</v>
      </c>
      <c r="C884" t="s">
        <v>33</v>
      </c>
      <c r="D884" s="2">
        <v>45079</v>
      </c>
      <c r="E884" s="2">
        <v>45171</v>
      </c>
      <c r="F884">
        <v>3</v>
      </c>
      <c r="G884" t="s">
        <v>63</v>
      </c>
      <c r="H884">
        <v>4</v>
      </c>
      <c r="I884" t="s">
        <v>35</v>
      </c>
      <c r="J884">
        <v>10899</v>
      </c>
      <c r="K884" t="s">
        <v>25</v>
      </c>
      <c r="L884" t="s">
        <v>54</v>
      </c>
      <c r="M884" t="s">
        <v>27</v>
      </c>
      <c r="N884" s="2">
        <v>44987</v>
      </c>
      <c r="O884" s="2">
        <v>45018.708333333336</v>
      </c>
      <c r="P884" t="s">
        <v>37</v>
      </c>
      <c r="Q884" t="s">
        <v>29</v>
      </c>
      <c r="R884" t="s">
        <v>43</v>
      </c>
      <c r="S884">
        <v>10</v>
      </c>
      <c r="T884">
        <v>10</v>
      </c>
      <c r="U884" t="s">
        <v>48</v>
      </c>
      <c r="V884" t="str">
        <f t="shared" si="13"/>
        <v>Jun-2023</v>
      </c>
      <c r="W884" s="16">
        <f>Table1[[#This Row],[Consultation Date]] - Table1[[#This Row],[Appointment Date]]</f>
        <v>31.708333333335759</v>
      </c>
    </row>
    <row r="885" spans="1:23" x14ac:dyDescent="0.3">
      <c r="A885" t="s">
        <v>942</v>
      </c>
      <c r="B885">
        <v>59</v>
      </c>
      <c r="C885" t="s">
        <v>62</v>
      </c>
      <c r="D885" s="2">
        <v>45263</v>
      </c>
      <c r="E885" s="2">
        <v>44999</v>
      </c>
      <c r="F885">
        <v>2</v>
      </c>
      <c r="G885" t="s">
        <v>57</v>
      </c>
      <c r="H885">
        <v>1</v>
      </c>
      <c r="I885" t="s">
        <v>24</v>
      </c>
      <c r="J885">
        <v>25502</v>
      </c>
      <c r="K885" t="s">
        <v>25</v>
      </c>
      <c r="L885" t="s">
        <v>54</v>
      </c>
      <c r="M885" t="s">
        <v>27</v>
      </c>
      <c r="N885" s="2">
        <v>45172</v>
      </c>
      <c r="O885" s="2">
        <v>45202.875</v>
      </c>
      <c r="P885" t="s">
        <v>42</v>
      </c>
      <c r="Q885" t="s">
        <v>29</v>
      </c>
      <c r="R885" t="s">
        <v>30</v>
      </c>
      <c r="S885">
        <v>4</v>
      </c>
      <c r="T885">
        <v>8</v>
      </c>
      <c r="U885" t="s">
        <v>48</v>
      </c>
      <c r="V885" t="str">
        <f t="shared" si="13"/>
        <v>Dec-2023</v>
      </c>
      <c r="W885" s="16">
        <f>Table1[[#This Row],[Consultation Date]] - Table1[[#This Row],[Appointment Date]]</f>
        <v>30.875</v>
      </c>
    </row>
    <row r="886" spans="1:23" x14ac:dyDescent="0.3">
      <c r="A886" t="s">
        <v>943</v>
      </c>
      <c r="B886">
        <v>70</v>
      </c>
      <c r="C886" t="s">
        <v>33</v>
      </c>
      <c r="D886" s="2">
        <v>45167</v>
      </c>
      <c r="E886" s="2">
        <v>45208</v>
      </c>
      <c r="F886">
        <v>12</v>
      </c>
      <c r="G886" t="s">
        <v>34</v>
      </c>
      <c r="H886">
        <v>1</v>
      </c>
      <c r="I886" t="s">
        <v>35</v>
      </c>
      <c r="J886">
        <v>5565</v>
      </c>
      <c r="K886" t="s">
        <v>36</v>
      </c>
      <c r="L886" t="s">
        <v>26</v>
      </c>
      <c r="M886" t="s">
        <v>27</v>
      </c>
      <c r="N886" s="2">
        <v>45166</v>
      </c>
      <c r="O886" s="2">
        <v>45166.041666666664</v>
      </c>
      <c r="P886" t="s">
        <v>28</v>
      </c>
      <c r="Q886" t="s">
        <v>29</v>
      </c>
      <c r="R886" t="s">
        <v>43</v>
      </c>
      <c r="S886">
        <v>7</v>
      </c>
      <c r="T886">
        <v>12</v>
      </c>
      <c r="U886" t="s">
        <v>31</v>
      </c>
      <c r="V886" t="str">
        <f t="shared" si="13"/>
        <v>Aug-2023</v>
      </c>
      <c r="W886" s="16">
        <f>Table1[[#This Row],[Consultation Date]] - Table1[[#This Row],[Appointment Date]]</f>
        <v>4.1666666664241347E-2</v>
      </c>
    </row>
    <row r="887" spans="1:23" x14ac:dyDescent="0.3">
      <c r="A887" t="s">
        <v>944</v>
      </c>
      <c r="B887">
        <v>33</v>
      </c>
      <c r="C887" t="s">
        <v>62</v>
      </c>
      <c r="D887" s="2">
        <v>45221</v>
      </c>
      <c r="E887" s="2">
        <v>45027</v>
      </c>
      <c r="F887">
        <v>13</v>
      </c>
      <c r="G887" t="s">
        <v>23</v>
      </c>
      <c r="H887">
        <v>3</v>
      </c>
      <c r="I887" t="s">
        <v>24</v>
      </c>
      <c r="J887">
        <v>43773</v>
      </c>
      <c r="K887" t="s">
        <v>36</v>
      </c>
      <c r="L887" t="s">
        <v>54</v>
      </c>
      <c r="M887" t="s">
        <v>41</v>
      </c>
      <c r="N887" s="2">
        <v>45216</v>
      </c>
      <c r="O887" s="2">
        <v>45216.916666666664</v>
      </c>
      <c r="P887" t="s">
        <v>64</v>
      </c>
      <c r="Q887" t="s">
        <v>29</v>
      </c>
      <c r="R887" t="s">
        <v>30</v>
      </c>
      <c r="S887">
        <v>5</v>
      </c>
      <c r="T887">
        <v>10</v>
      </c>
      <c r="U887" t="s">
        <v>48</v>
      </c>
      <c r="V887" t="str">
        <f t="shared" si="13"/>
        <v>Oct-2023</v>
      </c>
      <c r="W887" s="16">
        <f>Table1[[#This Row],[Consultation Date]] - Table1[[#This Row],[Appointment Date]]</f>
        <v>0.91666666666424135</v>
      </c>
    </row>
    <row r="888" spans="1:23" x14ac:dyDescent="0.3">
      <c r="A888" t="s">
        <v>945</v>
      </c>
      <c r="B888">
        <v>53</v>
      </c>
      <c r="C888" t="s">
        <v>22</v>
      </c>
      <c r="D888" s="2">
        <v>45159</v>
      </c>
      <c r="E888" s="2">
        <v>45167</v>
      </c>
      <c r="F888">
        <v>8</v>
      </c>
      <c r="G888" t="s">
        <v>23</v>
      </c>
      <c r="H888">
        <v>3</v>
      </c>
      <c r="I888" t="s">
        <v>66</v>
      </c>
      <c r="J888">
        <v>46924</v>
      </c>
      <c r="K888" t="s">
        <v>36</v>
      </c>
      <c r="L888" t="s">
        <v>54</v>
      </c>
      <c r="M888" t="s">
        <v>27</v>
      </c>
      <c r="N888" s="2">
        <v>45157</v>
      </c>
      <c r="O888" s="2">
        <v>45157.041666666664</v>
      </c>
      <c r="P888" t="s">
        <v>42</v>
      </c>
      <c r="Q888" t="s">
        <v>29</v>
      </c>
      <c r="R888" t="s">
        <v>30</v>
      </c>
      <c r="S888">
        <v>9</v>
      </c>
      <c r="T888">
        <v>12</v>
      </c>
      <c r="U888" t="s">
        <v>31</v>
      </c>
      <c r="V888" t="str">
        <f t="shared" si="13"/>
        <v>Aug-2023</v>
      </c>
      <c r="W888" s="16">
        <f>Table1[[#This Row],[Consultation Date]] - Table1[[#This Row],[Appointment Date]]</f>
        <v>4.1666666664241347E-2</v>
      </c>
    </row>
    <row r="889" spans="1:23" x14ac:dyDescent="0.3">
      <c r="A889" t="s">
        <v>946</v>
      </c>
      <c r="B889">
        <v>22</v>
      </c>
      <c r="C889" t="s">
        <v>62</v>
      </c>
      <c r="D889" s="2">
        <v>44989</v>
      </c>
      <c r="E889" s="2">
        <v>45020</v>
      </c>
      <c r="F889">
        <v>1</v>
      </c>
      <c r="G889" t="s">
        <v>23</v>
      </c>
      <c r="H889">
        <v>4</v>
      </c>
      <c r="I889" t="s">
        <v>46</v>
      </c>
      <c r="J889">
        <v>48242</v>
      </c>
      <c r="K889" t="s">
        <v>53</v>
      </c>
      <c r="L889" t="s">
        <v>54</v>
      </c>
      <c r="M889" t="s">
        <v>41</v>
      </c>
      <c r="N889" s="2">
        <v>44961</v>
      </c>
      <c r="O889" s="2">
        <v>44989.791666666664</v>
      </c>
      <c r="P889" t="s">
        <v>42</v>
      </c>
      <c r="Q889" t="s">
        <v>29</v>
      </c>
      <c r="R889" t="s">
        <v>43</v>
      </c>
      <c r="S889">
        <v>5</v>
      </c>
      <c r="T889">
        <v>8</v>
      </c>
      <c r="U889" t="s">
        <v>31</v>
      </c>
      <c r="V889" t="str">
        <f t="shared" si="13"/>
        <v>Mar-2023</v>
      </c>
      <c r="W889" s="16">
        <f>Table1[[#This Row],[Consultation Date]] - Table1[[#This Row],[Appointment Date]]</f>
        <v>28.791666666664241</v>
      </c>
    </row>
    <row r="890" spans="1:23" x14ac:dyDescent="0.3">
      <c r="A890" t="s">
        <v>947</v>
      </c>
      <c r="B890">
        <v>21</v>
      </c>
      <c r="C890" t="s">
        <v>41</v>
      </c>
      <c r="D890" s="2">
        <v>45371</v>
      </c>
      <c r="E890" s="2">
        <v>45376</v>
      </c>
      <c r="F890">
        <v>5</v>
      </c>
      <c r="G890" t="s">
        <v>40</v>
      </c>
      <c r="H890">
        <v>5</v>
      </c>
      <c r="I890" t="s">
        <v>66</v>
      </c>
      <c r="J890">
        <v>14187</v>
      </c>
      <c r="K890" t="s">
        <v>36</v>
      </c>
      <c r="L890" t="s">
        <v>54</v>
      </c>
      <c r="M890" t="s">
        <v>27</v>
      </c>
      <c r="N890" s="2">
        <v>45370</v>
      </c>
      <c r="O890" s="2">
        <v>45371.041666666664</v>
      </c>
      <c r="P890" t="s">
        <v>64</v>
      </c>
      <c r="Q890" t="s">
        <v>29</v>
      </c>
      <c r="R890" t="s">
        <v>43</v>
      </c>
      <c r="S890">
        <v>7</v>
      </c>
      <c r="T890">
        <v>12</v>
      </c>
      <c r="U890" t="s">
        <v>48</v>
      </c>
      <c r="V890" t="str">
        <f t="shared" si="13"/>
        <v>Mar-2024</v>
      </c>
      <c r="W890" s="16">
        <f>Table1[[#This Row],[Consultation Date]] - Table1[[#This Row],[Appointment Date]]</f>
        <v>1.0416666666642413</v>
      </c>
    </row>
    <row r="891" spans="1:23" x14ac:dyDescent="0.3">
      <c r="A891" t="s">
        <v>948</v>
      </c>
      <c r="B891">
        <v>70</v>
      </c>
      <c r="C891" t="s">
        <v>22</v>
      </c>
      <c r="D891" s="2">
        <v>45234</v>
      </c>
      <c r="E891" s="2">
        <v>45031</v>
      </c>
      <c r="F891">
        <v>4</v>
      </c>
      <c r="G891" t="s">
        <v>50</v>
      </c>
      <c r="H891">
        <v>2</v>
      </c>
      <c r="I891" t="s">
        <v>66</v>
      </c>
      <c r="J891">
        <v>12226</v>
      </c>
      <c r="K891" t="s">
        <v>53</v>
      </c>
      <c r="L891" t="s">
        <v>54</v>
      </c>
      <c r="M891" t="s">
        <v>27</v>
      </c>
      <c r="N891" s="2">
        <v>45081</v>
      </c>
      <c r="O891" s="2">
        <v>45142</v>
      </c>
      <c r="P891" t="s">
        <v>28</v>
      </c>
      <c r="Q891" t="s">
        <v>29</v>
      </c>
      <c r="R891" t="s">
        <v>30</v>
      </c>
      <c r="S891">
        <v>9</v>
      </c>
      <c r="T891">
        <v>12</v>
      </c>
      <c r="U891" t="s">
        <v>31</v>
      </c>
      <c r="V891" t="str">
        <f t="shared" si="13"/>
        <v>Nov-2023</v>
      </c>
      <c r="W891" s="16">
        <f>Table1[[#This Row],[Consultation Date]] - Table1[[#This Row],[Appointment Date]]</f>
        <v>61</v>
      </c>
    </row>
    <row r="892" spans="1:23" x14ac:dyDescent="0.3">
      <c r="A892" t="s">
        <v>949</v>
      </c>
      <c r="B892">
        <v>70</v>
      </c>
      <c r="C892" t="s">
        <v>62</v>
      </c>
      <c r="D892" s="2">
        <v>45029</v>
      </c>
      <c r="E892" s="2">
        <v>45030</v>
      </c>
      <c r="F892">
        <v>1</v>
      </c>
      <c r="G892" t="s">
        <v>63</v>
      </c>
      <c r="H892">
        <v>5</v>
      </c>
      <c r="I892" t="s">
        <v>46</v>
      </c>
      <c r="J892">
        <v>47147</v>
      </c>
      <c r="K892" t="s">
        <v>36</v>
      </c>
      <c r="L892" t="s">
        <v>54</v>
      </c>
      <c r="M892" t="s">
        <v>27</v>
      </c>
      <c r="N892" s="2">
        <v>45173</v>
      </c>
      <c r="O892" s="2">
        <v>45203.958333333336</v>
      </c>
      <c r="P892" t="s">
        <v>37</v>
      </c>
      <c r="Q892" t="s">
        <v>29</v>
      </c>
      <c r="R892" t="s">
        <v>30</v>
      </c>
      <c r="S892">
        <v>11</v>
      </c>
      <c r="T892">
        <v>8</v>
      </c>
      <c r="U892" t="s">
        <v>31</v>
      </c>
      <c r="V892" t="str">
        <f t="shared" si="13"/>
        <v>Apr-2023</v>
      </c>
      <c r="W892" s="16">
        <f>Table1[[#This Row],[Consultation Date]] - Table1[[#This Row],[Appointment Date]]</f>
        <v>30.958333333335759</v>
      </c>
    </row>
    <row r="893" spans="1:23" x14ac:dyDescent="0.3">
      <c r="A893" t="s">
        <v>950</v>
      </c>
      <c r="B893">
        <v>4</v>
      </c>
      <c r="C893" t="s">
        <v>33</v>
      </c>
      <c r="D893" s="2">
        <v>45381</v>
      </c>
      <c r="E893" s="2">
        <v>45630</v>
      </c>
      <c r="F893">
        <v>13</v>
      </c>
      <c r="G893" t="s">
        <v>34</v>
      </c>
      <c r="H893">
        <v>1</v>
      </c>
      <c r="I893" t="s">
        <v>46</v>
      </c>
      <c r="J893">
        <v>43658</v>
      </c>
      <c r="K893" t="s">
        <v>53</v>
      </c>
      <c r="L893" t="s">
        <v>54</v>
      </c>
      <c r="M893" t="s">
        <v>27</v>
      </c>
      <c r="N893" s="2">
        <v>45378</v>
      </c>
      <c r="O893" s="2">
        <v>45378.833333333336</v>
      </c>
      <c r="P893" t="s">
        <v>42</v>
      </c>
      <c r="Q893" t="s">
        <v>29</v>
      </c>
      <c r="R893" t="s">
        <v>30</v>
      </c>
      <c r="S893">
        <v>9</v>
      </c>
      <c r="T893">
        <v>10</v>
      </c>
      <c r="U893" t="s">
        <v>31</v>
      </c>
      <c r="V893" t="str">
        <f t="shared" si="13"/>
        <v>Mar-2024</v>
      </c>
      <c r="W893" s="16">
        <f>Table1[[#This Row],[Consultation Date]] - Table1[[#This Row],[Appointment Date]]</f>
        <v>0.83333333333575865</v>
      </c>
    </row>
    <row r="894" spans="1:23" x14ac:dyDescent="0.3">
      <c r="A894" t="s">
        <v>951</v>
      </c>
      <c r="B894">
        <v>75</v>
      </c>
      <c r="C894" t="s">
        <v>33</v>
      </c>
      <c r="D894" s="2">
        <v>45097</v>
      </c>
      <c r="E894" s="2">
        <v>45101</v>
      </c>
      <c r="F894">
        <v>4</v>
      </c>
      <c r="G894" t="s">
        <v>40</v>
      </c>
      <c r="H894">
        <v>3</v>
      </c>
      <c r="I894" t="s">
        <v>71</v>
      </c>
      <c r="J894">
        <v>9311</v>
      </c>
      <c r="K894" t="s">
        <v>60</v>
      </c>
      <c r="L894" t="s">
        <v>54</v>
      </c>
      <c r="M894" t="s">
        <v>27</v>
      </c>
      <c r="N894" s="2">
        <v>45096</v>
      </c>
      <c r="O894" s="2">
        <v>45096.291666666664</v>
      </c>
      <c r="P894" t="s">
        <v>64</v>
      </c>
      <c r="Q894" t="s">
        <v>29</v>
      </c>
      <c r="R894" t="s">
        <v>47</v>
      </c>
      <c r="S894">
        <v>4</v>
      </c>
      <c r="T894">
        <v>12</v>
      </c>
      <c r="U894" t="s">
        <v>31</v>
      </c>
      <c r="V894" t="str">
        <f t="shared" si="13"/>
        <v>Jun-2023</v>
      </c>
      <c r="W894" s="16">
        <f>Table1[[#This Row],[Consultation Date]] - Table1[[#This Row],[Appointment Date]]</f>
        <v>0.29166666666424135</v>
      </c>
    </row>
    <row r="895" spans="1:23" x14ac:dyDescent="0.3">
      <c r="A895" t="s">
        <v>952</v>
      </c>
      <c r="B895">
        <v>62</v>
      </c>
      <c r="C895" t="s">
        <v>33</v>
      </c>
      <c r="D895" s="2">
        <v>44996</v>
      </c>
      <c r="E895" s="2">
        <v>45248</v>
      </c>
      <c r="F895">
        <v>15</v>
      </c>
      <c r="G895" t="s">
        <v>34</v>
      </c>
      <c r="H895">
        <v>4</v>
      </c>
      <c r="I895" t="s">
        <v>71</v>
      </c>
      <c r="J895">
        <v>49214</v>
      </c>
      <c r="K895" t="s">
        <v>60</v>
      </c>
      <c r="L895" t="s">
        <v>54</v>
      </c>
      <c r="M895" t="s">
        <v>27</v>
      </c>
      <c r="N895" s="2">
        <v>45229</v>
      </c>
      <c r="O895" s="2">
        <v>45229.583333333336</v>
      </c>
      <c r="P895" t="s">
        <v>28</v>
      </c>
      <c r="Q895" t="s">
        <v>29</v>
      </c>
      <c r="R895" t="s">
        <v>30</v>
      </c>
      <c r="S895">
        <v>4</v>
      </c>
      <c r="T895">
        <v>12</v>
      </c>
      <c r="U895" t="s">
        <v>48</v>
      </c>
      <c r="V895" t="str">
        <f t="shared" si="13"/>
        <v>Mar-2023</v>
      </c>
      <c r="W895" s="16">
        <f>Table1[[#This Row],[Consultation Date]] - Table1[[#This Row],[Appointment Date]]</f>
        <v>0.58333333333575865</v>
      </c>
    </row>
    <row r="896" spans="1:23" x14ac:dyDescent="0.3">
      <c r="A896" t="s">
        <v>953</v>
      </c>
      <c r="B896">
        <v>62</v>
      </c>
      <c r="C896" t="s">
        <v>45</v>
      </c>
      <c r="D896" s="2">
        <v>44956</v>
      </c>
      <c r="E896" s="2">
        <v>44957</v>
      </c>
      <c r="F896">
        <v>1</v>
      </c>
      <c r="G896" t="s">
        <v>34</v>
      </c>
      <c r="H896">
        <v>5</v>
      </c>
      <c r="I896" t="s">
        <v>66</v>
      </c>
      <c r="J896">
        <v>46616</v>
      </c>
      <c r="K896" t="s">
        <v>25</v>
      </c>
      <c r="L896" t="s">
        <v>54</v>
      </c>
      <c r="M896" t="s">
        <v>41</v>
      </c>
      <c r="N896" s="2">
        <v>44951</v>
      </c>
      <c r="O896" s="2">
        <v>44952.416666666664</v>
      </c>
      <c r="P896" t="s">
        <v>55</v>
      </c>
      <c r="Q896" t="s">
        <v>29</v>
      </c>
      <c r="R896" t="s">
        <v>43</v>
      </c>
      <c r="S896">
        <v>4</v>
      </c>
      <c r="T896">
        <v>10</v>
      </c>
      <c r="U896" t="s">
        <v>68</v>
      </c>
      <c r="V896" t="str">
        <f t="shared" si="13"/>
        <v>Jan-2023</v>
      </c>
      <c r="W896" s="16">
        <f>Table1[[#This Row],[Consultation Date]] - Table1[[#This Row],[Appointment Date]]</f>
        <v>1.4166666666642413</v>
      </c>
    </row>
    <row r="897" spans="1:23" x14ac:dyDescent="0.3">
      <c r="A897" t="s">
        <v>954</v>
      </c>
      <c r="B897">
        <v>24</v>
      </c>
      <c r="C897" t="s">
        <v>52</v>
      </c>
      <c r="D897" s="2">
        <v>44974</v>
      </c>
      <c r="E897" s="2">
        <v>44980</v>
      </c>
      <c r="F897">
        <v>6</v>
      </c>
      <c r="G897" t="s">
        <v>57</v>
      </c>
      <c r="H897">
        <v>4</v>
      </c>
      <c r="I897" t="s">
        <v>66</v>
      </c>
      <c r="J897">
        <v>30689</v>
      </c>
      <c r="K897" t="s">
        <v>53</v>
      </c>
      <c r="L897" t="s">
        <v>54</v>
      </c>
      <c r="M897" t="s">
        <v>41</v>
      </c>
      <c r="N897" s="2">
        <v>44974</v>
      </c>
      <c r="O897" s="2">
        <v>44974.666666666664</v>
      </c>
      <c r="P897" t="s">
        <v>37</v>
      </c>
      <c r="Q897" t="s">
        <v>29</v>
      </c>
      <c r="R897" t="s">
        <v>43</v>
      </c>
      <c r="S897">
        <v>8</v>
      </c>
      <c r="T897">
        <v>10</v>
      </c>
      <c r="U897" t="s">
        <v>68</v>
      </c>
      <c r="V897" t="str">
        <f t="shared" si="13"/>
        <v>Feb-2023</v>
      </c>
      <c r="W897" s="16">
        <f>Table1[[#This Row],[Consultation Date]] - Table1[[#This Row],[Appointment Date]]</f>
        <v>0.66666666666424135</v>
      </c>
    </row>
    <row r="898" spans="1:23" x14ac:dyDescent="0.3">
      <c r="A898" t="s">
        <v>955</v>
      </c>
      <c r="B898">
        <v>55</v>
      </c>
      <c r="C898" t="s">
        <v>33</v>
      </c>
      <c r="D898" s="2">
        <v>45259</v>
      </c>
      <c r="E898" s="2">
        <v>45274</v>
      </c>
      <c r="F898">
        <v>15</v>
      </c>
      <c r="G898" t="s">
        <v>57</v>
      </c>
      <c r="H898">
        <v>5</v>
      </c>
      <c r="I898" t="s">
        <v>35</v>
      </c>
      <c r="J898">
        <v>11083</v>
      </c>
      <c r="K898" t="s">
        <v>67</v>
      </c>
      <c r="L898" t="s">
        <v>26</v>
      </c>
      <c r="M898" t="s">
        <v>41</v>
      </c>
      <c r="N898" s="2">
        <v>45255</v>
      </c>
      <c r="O898" s="2">
        <v>45256.125</v>
      </c>
      <c r="P898" t="s">
        <v>64</v>
      </c>
      <c r="Q898" t="s">
        <v>29</v>
      </c>
      <c r="R898" t="s">
        <v>43</v>
      </c>
      <c r="S898">
        <v>11</v>
      </c>
      <c r="T898">
        <v>12</v>
      </c>
      <c r="U898" t="s">
        <v>31</v>
      </c>
      <c r="V898" t="str">
        <f t="shared" ref="V898:V961" si="14">TEXT(D898,"mmm-yyyy")</f>
        <v>Nov-2023</v>
      </c>
      <c r="W898" s="16">
        <f>Table1[[#This Row],[Consultation Date]] - Table1[[#This Row],[Appointment Date]]</f>
        <v>1.125</v>
      </c>
    </row>
    <row r="899" spans="1:23" x14ac:dyDescent="0.3">
      <c r="A899" t="s">
        <v>956</v>
      </c>
      <c r="B899">
        <v>9</v>
      </c>
      <c r="C899" t="s">
        <v>22</v>
      </c>
      <c r="D899" s="2">
        <v>44984</v>
      </c>
      <c r="E899" s="2">
        <v>45019</v>
      </c>
      <c r="F899">
        <v>5</v>
      </c>
      <c r="G899" t="s">
        <v>57</v>
      </c>
      <c r="H899">
        <v>1</v>
      </c>
      <c r="I899" t="s">
        <v>35</v>
      </c>
      <c r="J899">
        <v>17598</v>
      </c>
      <c r="K899" t="s">
        <v>25</v>
      </c>
      <c r="L899" t="s">
        <v>54</v>
      </c>
      <c r="M899" t="s">
        <v>27</v>
      </c>
      <c r="N899" s="2">
        <v>44984</v>
      </c>
      <c r="O899" s="2">
        <v>44985.333333333336</v>
      </c>
      <c r="P899" t="s">
        <v>64</v>
      </c>
      <c r="Q899" t="s">
        <v>29</v>
      </c>
      <c r="R899" t="s">
        <v>30</v>
      </c>
      <c r="S899">
        <v>6</v>
      </c>
      <c r="T899">
        <v>8</v>
      </c>
      <c r="U899" t="s">
        <v>31</v>
      </c>
      <c r="V899" t="str">
        <f t="shared" si="14"/>
        <v>Feb-2023</v>
      </c>
      <c r="W899" s="16">
        <f>Table1[[#This Row],[Consultation Date]] - Table1[[#This Row],[Appointment Date]]</f>
        <v>1.3333333333357587</v>
      </c>
    </row>
    <row r="900" spans="1:23" x14ac:dyDescent="0.3">
      <c r="A900" t="s">
        <v>957</v>
      </c>
      <c r="B900">
        <v>3</v>
      </c>
      <c r="C900" t="s">
        <v>33</v>
      </c>
      <c r="D900" s="2">
        <v>45227</v>
      </c>
      <c r="E900" s="2">
        <v>45088</v>
      </c>
      <c r="F900">
        <v>9</v>
      </c>
      <c r="G900" t="s">
        <v>40</v>
      </c>
      <c r="H900">
        <v>2</v>
      </c>
      <c r="I900" t="s">
        <v>71</v>
      </c>
      <c r="J900">
        <v>21940</v>
      </c>
      <c r="K900" t="s">
        <v>60</v>
      </c>
      <c r="L900" t="s">
        <v>26</v>
      </c>
      <c r="M900" t="s">
        <v>41</v>
      </c>
      <c r="N900" s="2">
        <v>45227</v>
      </c>
      <c r="O900" s="2">
        <v>45227.166666666664</v>
      </c>
      <c r="P900" t="s">
        <v>64</v>
      </c>
      <c r="Q900" t="s">
        <v>29</v>
      </c>
      <c r="R900" t="s">
        <v>30</v>
      </c>
      <c r="S900">
        <v>10</v>
      </c>
      <c r="T900">
        <v>10</v>
      </c>
      <c r="U900" t="s">
        <v>31</v>
      </c>
      <c r="V900" t="str">
        <f t="shared" si="14"/>
        <v>Oct-2023</v>
      </c>
      <c r="W900" s="16">
        <f>Table1[[#This Row],[Consultation Date]] - Table1[[#This Row],[Appointment Date]]</f>
        <v>0.16666666666424135</v>
      </c>
    </row>
    <row r="901" spans="1:23" x14ac:dyDescent="0.3">
      <c r="A901" t="s">
        <v>958</v>
      </c>
      <c r="B901">
        <v>31</v>
      </c>
      <c r="C901" t="s">
        <v>45</v>
      </c>
      <c r="D901" s="2">
        <v>45352</v>
      </c>
      <c r="E901" s="2">
        <v>45566</v>
      </c>
      <c r="F901">
        <v>7</v>
      </c>
      <c r="G901" t="s">
        <v>34</v>
      </c>
      <c r="H901">
        <v>4</v>
      </c>
      <c r="I901" t="s">
        <v>71</v>
      </c>
      <c r="J901">
        <v>31880</v>
      </c>
      <c r="K901" t="s">
        <v>53</v>
      </c>
      <c r="L901" t="s">
        <v>26</v>
      </c>
      <c r="M901" t="s">
        <v>27</v>
      </c>
      <c r="N901" s="2">
        <v>45289</v>
      </c>
      <c r="O901" s="2">
        <v>45289.416666666664</v>
      </c>
      <c r="P901" t="s">
        <v>42</v>
      </c>
      <c r="Q901" t="s">
        <v>29</v>
      </c>
      <c r="R901" t="s">
        <v>47</v>
      </c>
      <c r="S901">
        <v>4</v>
      </c>
      <c r="T901">
        <v>10</v>
      </c>
      <c r="U901" t="s">
        <v>68</v>
      </c>
      <c r="V901" t="str">
        <f t="shared" si="14"/>
        <v>Mar-2024</v>
      </c>
      <c r="W901" s="16">
        <f>Table1[[#This Row],[Consultation Date]] - Table1[[#This Row],[Appointment Date]]</f>
        <v>0.41666666666424135</v>
      </c>
    </row>
    <row r="902" spans="1:23" x14ac:dyDescent="0.3">
      <c r="A902" t="s">
        <v>959</v>
      </c>
      <c r="B902">
        <v>40</v>
      </c>
      <c r="C902" t="s">
        <v>41</v>
      </c>
      <c r="D902" s="2">
        <v>45310</v>
      </c>
      <c r="E902" s="2">
        <v>45324</v>
      </c>
      <c r="F902">
        <v>14</v>
      </c>
      <c r="G902" t="s">
        <v>50</v>
      </c>
      <c r="H902">
        <v>4</v>
      </c>
      <c r="I902" t="s">
        <v>35</v>
      </c>
      <c r="J902">
        <v>7580</v>
      </c>
      <c r="K902" t="s">
        <v>36</v>
      </c>
      <c r="L902" t="s">
        <v>54</v>
      </c>
      <c r="M902" t="s">
        <v>27</v>
      </c>
      <c r="N902" s="2">
        <v>45310</v>
      </c>
      <c r="O902" s="2">
        <v>45311.916666666664</v>
      </c>
      <c r="P902" t="s">
        <v>55</v>
      </c>
      <c r="Q902" t="s">
        <v>29</v>
      </c>
      <c r="R902" t="s">
        <v>47</v>
      </c>
      <c r="S902">
        <v>6</v>
      </c>
      <c r="T902">
        <v>8</v>
      </c>
      <c r="U902" t="s">
        <v>31</v>
      </c>
      <c r="V902" t="str">
        <f t="shared" si="14"/>
        <v>Jan-2024</v>
      </c>
      <c r="W902" s="16">
        <f>Table1[[#This Row],[Consultation Date]] - Table1[[#This Row],[Appointment Date]]</f>
        <v>1.9166666666642413</v>
      </c>
    </row>
    <row r="903" spans="1:23" x14ac:dyDescent="0.3">
      <c r="A903" t="s">
        <v>960</v>
      </c>
      <c r="B903">
        <v>36</v>
      </c>
      <c r="C903" t="s">
        <v>22</v>
      </c>
      <c r="D903" s="2">
        <v>45368</v>
      </c>
      <c r="E903" s="2">
        <v>45377</v>
      </c>
      <c r="F903">
        <v>9</v>
      </c>
      <c r="G903" t="s">
        <v>63</v>
      </c>
      <c r="H903">
        <v>2</v>
      </c>
      <c r="I903" t="s">
        <v>35</v>
      </c>
      <c r="J903">
        <v>47321</v>
      </c>
      <c r="K903" t="s">
        <v>67</v>
      </c>
      <c r="L903" t="s">
        <v>54</v>
      </c>
      <c r="M903" t="s">
        <v>41</v>
      </c>
      <c r="N903" s="2">
        <v>45368</v>
      </c>
      <c r="O903" s="2">
        <v>45368.75</v>
      </c>
      <c r="P903" t="s">
        <v>37</v>
      </c>
      <c r="Q903" t="s">
        <v>29</v>
      </c>
      <c r="R903" t="s">
        <v>43</v>
      </c>
      <c r="S903">
        <v>6</v>
      </c>
      <c r="T903">
        <v>12</v>
      </c>
      <c r="U903" t="s">
        <v>48</v>
      </c>
      <c r="V903" t="str">
        <f t="shared" si="14"/>
        <v>Mar-2024</v>
      </c>
      <c r="W903" s="16">
        <f>Table1[[#This Row],[Consultation Date]] - Table1[[#This Row],[Appointment Date]]</f>
        <v>0.75</v>
      </c>
    </row>
    <row r="904" spans="1:23" x14ac:dyDescent="0.3">
      <c r="A904" t="s">
        <v>961</v>
      </c>
      <c r="B904">
        <v>24</v>
      </c>
      <c r="C904" t="s">
        <v>45</v>
      </c>
      <c r="D904" s="2">
        <v>45076</v>
      </c>
      <c r="E904" s="2">
        <v>45113</v>
      </c>
      <c r="F904">
        <v>8</v>
      </c>
      <c r="G904" t="s">
        <v>57</v>
      </c>
      <c r="H904">
        <v>4</v>
      </c>
      <c r="I904" t="s">
        <v>24</v>
      </c>
      <c r="J904">
        <v>14386</v>
      </c>
      <c r="K904" t="s">
        <v>60</v>
      </c>
      <c r="L904" t="s">
        <v>26</v>
      </c>
      <c r="M904" t="s">
        <v>27</v>
      </c>
      <c r="N904" s="2">
        <v>45073</v>
      </c>
      <c r="O904" s="2">
        <v>45073.25</v>
      </c>
      <c r="P904" t="s">
        <v>28</v>
      </c>
      <c r="Q904" t="s">
        <v>38</v>
      </c>
      <c r="R904" t="s">
        <v>47</v>
      </c>
      <c r="S904">
        <v>5</v>
      </c>
      <c r="T904">
        <v>10</v>
      </c>
      <c r="U904" t="s">
        <v>48</v>
      </c>
      <c r="V904" t="str">
        <f t="shared" si="14"/>
        <v>May-2023</v>
      </c>
      <c r="W904" s="16">
        <f>Table1[[#This Row],[Consultation Date]] - Table1[[#This Row],[Appointment Date]]</f>
        <v>0.25</v>
      </c>
    </row>
    <row r="905" spans="1:23" x14ac:dyDescent="0.3">
      <c r="A905" t="s">
        <v>962</v>
      </c>
      <c r="B905">
        <v>6</v>
      </c>
      <c r="C905" t="s">
        <v>41</v>
      </c>
      <c r="D905" s="2">
        <v>45147</v>
      </c>
      <c r="E905" s="2">
        <v>45182</v>
      </c>
      <c r="F905">
        <v>5</v>
      </c>
      <c r="G905" t="s">
        <v>57</v>
      </c>
      <c r="H905">
        <v>4</v>
      </c>
      <c r="I905" t="s">
        <v>24</v>
      </c>
      <c r="J905">
        <v>24522</v>
      </c>
      <c r="K905" t="s">
        <v>25</v>
      </c>
      <c r="L905" t="s">
        <v>26</v>
      </c>
      <c r="M905" t="s">
        <v>27</v>
      </c>
      <c r="N905" s="2">
        <v>45116</v>
      </c>
      <c r="O905" s="2">
        <v>45116.125</v>
      </c>
      <c r="P905" t="s">
        <v>28</v>
      </c>
      <c r="Q905" t="s">
        <v>29</v>
      </c>
      <c r="R905" t="s">
        <v>47</v>
      </c>
      <c r="S905">
        <v>7</v>
      </c>
      <c r="T905">
        <v>12</v>
      </c>
      <c r="U905" t="s">
        <v>48</v>
      </c>
      <c r="V905" t="str">
        <f t="shared" si="14"/>
        <v>Aug-2023</v>
      </c>
      <c r="W905" s="16">
        <f>Table1[[#This Row],[Consultation Date]] - Table1[[#This Row],[Appointment Date]]</f>
        <v>0.125</v>
      </c>
    </row>
    <row r="906" spans="1:23" x14ac:dyDescent="0.3">
      <c r="A906" t="s">
        <v>963</v>
      </c>
      <c r="B906">
        <v>66</v>
      </c>
      <c r="C906" t="s">
        <v>22</v>
      </c>
      <c r="D906" s="2">
        <v>45348</v>
      </c>
      <c r="E906" s="2">
        <v>45349</v>
      </c>
      <c r="F906">
        <v>1</v>
      </c>
      <c r="G906" t="s">
        <v>34</v>
      </c>
      <c r="H906">
        <v>5</v>
      </c>
      <c r="I906" t="s">
        <v>35</v>
      </c>
      <c r="J906">
        <v>31224</v>
      </c>
      <c r="K906" t="s">
        <v>53</v>
      </c>
      <c r="L906" t="s">
        <v>26</v>
      </c>
      <c r="M906" t="s">
        <v>41</v>
      </c>
      <c r="N906" s="2">
        <v>45343</v>
      </c>
      <c r="O906" s="2">
        <v>45343.625</v>
      </c>
      <c r="P906" t="s">
        <v>55</v>
      </c>
      <c r="Q906" t="s">
        <v>29</v>
      </c>
      <c r="R906" t="s">
        <v>43</v>
      </c>
      <c r="S906">
        <v>8</v>
      </c>
      <c r="T906">
        <v>12</v>
      </c>
      <c r="U906" t="s">
        <v>68</v>
      </c>
      <c r="V906" t="str">
        <f t="shared" si="14"/>
        <v>Feb-2024</v>
      </c>
      <c r="W906" s="16">
        <f>Table1[[#This Row],[Consultation Date]] - Table1[[#This Row],[Appointment Date]]</f>
        <v>0.625</v>
      </c>
    </row>
    <row r="907" spans="1:23" x14ac:dyDescent="0.3">
      <c r="A907" t="s">
        <v>964</v>
      </c>
      <c r="B907">
        <v>84</v>
      </c>
      <c r="C907" t="s">
        <v>62</v>
      </c>
      <c r="D907" s="2">
        <v>45023</v>
      </c>
      <c r="E907" s="2">
        <v>45124</v>
      </c>
      <c r="F907">
        <v>13</v>
      </c>
      <c r="G907" t="s">
        <v>34</v>
      </c>
      <c r="H907">
        <v>5</v>
      </c>
      <c r="I907" t="s">
        <v>24</v>
      </c>
      <c r="J907">
        <v>19635</v>
      </c>
      <c r="K907" t="s">
        <v>67</v>
      </c>
      <c r="L907" t="s">
        <v>26</v>
      </c>
      <c r="M907" t="s">
        <v>27</v>
      </c>
      <c r="N907" s="2">
        <v>44992</v>
      </c>
      <c r="O907" s="2">
        <v>45023.416666666664</v>
      </c>
      <c r="P907" t="s">
        <v>64</v>
      </c>
      <c r="Q907" t="s">
        <v>29</v>
      </c>
      <c r="R907" t="s">
        <v>30</v>
      </c>
      <c r="S907">
        <v>6</v>
      </c>
      <c r="T907">
        <v>12</v>
      </c>
      <c r="U907" t="s">
        <v>31</v>
      </c>
      <c r="V907" t="str">
        <f t="shared" si="14"/>
        <v>Apr-2023</v>
      </c>
      <c r="W907" s="16">
        <f>Table1[[#This Row],[Consultation Date]] - Table1[[#This Row],[Appointment Date]]</f>
        <v>31.416666666664241</v>
      </c>
    </row>
    <row r="908" spans="1:23" x14ac:dyDescent="0.3">
      <c r="A908" t="s">
        <v>965</v>
      </c>
      <c r="B908">
        <v>75</v>
      </c>
      <c r="C908" t="s">
        <v>52</v>
      </c>
      <c r="D908" s="2">
        <v>45101</v>
      </c>
      <c r="E908" s="2">
        <v>45053</v>
      </c>
      <c r="F908">
        <v>11</v>
      </c>
      <c r="G908" t="s">
        <v>40</v>
      </c>
      <c r="H908">
        <v>2</v>
      </c>
      <c r="I908" t="s">
        <v>46</v>
      </c>
      <c r="J908">
        <v>5671</v>
      </c>
      <c r="K908" t="s">
        <v>53</v>
      </c>
      <c r="L908" t="s">
        <v>54</v>
      </c>
      <c r="M908" t="s">
        <v>27</v>
      </c>
      <c r="N908" s="2">
        <v>45101</v>
      </c>
      <c r="O908" s="2">
        <v>45102.125</v>
      </c>
      <c r="P908" t="s">
        <v>64</v>
      </c>
      <c r="Q908" t="s">
        <v>29</v>
      </c>
      <c r="R908" t="s">
        <v>47</v>
      </c>
      <c r="S908">
        <v>10</v>
      </c>
      <c r="T908">
        <v>8</v>
      </c>
      <c r="U908" t="s">
        <v>31</v>
      </c>
      <c r="V908" t="str">
        <f t="shared" si="14"/>
        <v>Jun-2023</v>
      </c>
      <c r="W908" s="16">
        <f>Table1[[#This Row],[Consultation Date]] - Table1[[#This Row],[Appointment Date]]</f>
        <v>1.125</v>
      </c>
    </row>
    <row r="909" spans="1:23" x14ac:dyDescent="0.3">
      <c r="A909" t="s">
        <v>966</v>
      </c>
      <c r="B909">
        <v>4</v>
      </c>
      <c r="C909" t="s">
        <v>52</v>
      </c>
      <c r="D909" s="2">
        <v>45106</v>
      </c>
      <c r="E909" s="2">
        <v>44992</v>
      </c>
      <c r="F909">
        <v>4</v>
      </c>
      <c r="G909" t="s">
        <v>40</v>
      </c>
      <c r="H909">
        <v>1</v>
      </c>
      <c r="I909" t="s">
        <v>71</v>
      </c>
      <c r="J909">
        <v>38545</v>
      </c>
      <c r="K909" t="s">
        <v>36</v>
      </c>
      <c r="L909" t="s">
        <v>54</v>
      </c>
      <c r="M909" t="s">
        <v>27</v>
      </c>
      <c r="N909" s="2">
        <v>45101</v>
      </c>
      <c r="O909" s="2">
        <v>45102.875</v>
      </c>
      <c r="P909" t="s">
        <v>64</v>
      </c>
      <c r="Q909" t="s">
        <v>29</v>
      </c>
      <c r="R909" t="s">
        <v>30</v>
      </c>
      <c r="S909">
        <v>8</v>
      </c>
      <c r="T909">
        <v>12</v>
      </c>
      <c r="U909" t="s">
        <v>31</v>
      </c>
      <c r="V909" t="str">
        <f t="shared" si="14"/>
        <v>Jun-2023</v>
      </c>
      <c r="W909" s="16">
        <f>Table1[[#This Row],[Consultation Date]] - Table1[[#This Row],[Appointment Date]]</f>
        <v>1.875</v>
      </c>
    </row>
    <row r="910" spans="1:23" x14ac:dyDescent="0.3">
      <c r="A910" t="s">
        <v>967</v>
      </c>
      <c r="B910">
        <v>79</v>
      </c>
      <c r="C910" t="s">
        <v>45</v>
      </c>
      <c r="D910" s="2">
        <v>45007</v>
      </c>
      <c r="E910" s="2">
        <v>45012</v>
      </c>
      <c r="F910">
        <v>5</v>
      </c>
      <c r="G910" t="s">
        <v>57</v>
      </c>
      <c r="H910">
        <v>4</v>
      </c>
      <c r="I910" t="s">
        <v>71</v>
      </c>
      <c r="J910">
        <v>31855</v>
      </c>
      <c r="K910" t="s">
        <v>25</v>
      </c>
      <c r="L910" t="s">
        <v>54</v>
      </c>
      <c r="M910" t="s">
        <v>27</v>
      </c>
      <c r="N910" s="2">
        <v>45006</v>
      </c>
      <c r="O910" s="2">
        <v>45007</v>
      </c>
      <c r="P910" t="s">
        <v>64</v>
      </c>
      <c r="Q910" t="s">
        <v>29</v>
      </c>
      <c r="R910" t="s">
        <v>43</v>
      </c>
      <c r="S910">
        <v>5</v>
      </c>
      <c r="T910">
        <v>12</v>
      </c>
      <c r="U910" t="s">
        <v>68</v>
      </c>
      <c r="V910" t="str">
        <f t="shared" si="14"/>
        <v>Mar-2023</v>
      </c>
      <c r="W910" s="16">
        <f>Table1[[#This Row],[Consultation Date]] - Table1[[#This Row],[Appointment Date]]</f>
        <v>1</v>
      </c>
    </row>
    <row r="911" spans="1:23" x14ac:dyDescent="0.3">
      <c r="A911" t="s">
        <v>968</v>
      </c>
      <c r="B911">
        <v>6</v>
      </c>
      <c r="C911" t="s">
        <v>41</v>
      </c>
      <c r="D911" s="2">
        <v>45318</v>
      </c>
      <c r="E911" s="2">
        <v>45324</v>
      </c>
      <c r="F911">
        <v>6</v>
      </c>
      <c r="G911" t="s">
        <v>34</v>
      </c>
      <c r="H911">
        <v>1</v>
      </c>
      <c r="I911" t="s">
        <v>35</v>
      </c>
      <c r="J911">
        <v>40790</v>
      </c>
      <c r="K911" t="s">
        <v>53</v>
      </c>
      <c r="L911" t="s">
        <v>54</v>
      </c>
      <c r="M911" t="s">
        <v>27</v>
      </c>
      <c r="N911" s="2">
        <v>45318</v>
      </c>
      <c r="O911" s="2">
        <v>45319.25</v>
      </c>
      <c r="P911" t="s">
        <v>64</v>
      </c>
      <c r="Q911" t="s">
        <v>29</v>
      </c>
      <c r="R911" t="s">
        <v>43</v>
      </c>
      <c r="S911">
        <v>4</v>
      </c>
      <c r="T911">
        <v>10</v>
      </c>
      <c r="U911" t="s">
        <v>68</v>
      </c>
      <c r="V911" t="str">
        <f t="shared" si="14"/>
        <v>Jan-2024</v>
      </c>
      <c r="W911" s="16">
        <f>Table1[[#This Row],[Consultation Date]] - Table1[[#This Row],[Appointment Date]]</f>
        <v>1.25</v>
      </c>
    </row>
    <row r="912" spans="1:23" x14ac:dyDescent="0.3">
      <c r="A912" t="s">
        <v>969</v>
      </c>
      <c r="B912">
        <v>51</v>
      </c>
      <c r="C912" t="s">
        <v>52</v>
      </c>
      <c r="D912" s="2">
        <v>45025</v>
      </c>
      <c r="E912" s="2">
        <v>45187</v>
      </c>
      <c r="F912">
        <v>14</v>
      </c>
      <c r="G912" t="s">
        <v>50</v>
      </c>
      <c r="H912">
        <v>2</v>
      </c>
      <c r="I912" t="s">
        <v>66</v>
      </c>
      <c r="J912">
        <v>19260</v>
      </c>
      <c r="K912" t="s">
        <v>60</v>
      </c>
      <c r="L912" t="s">
        <v>54</v>
      </c>
      <c r="M912" t="s">
        <v>27</v>
      </c>
      <c r="N912" s="2">
        <v>44994</v>
      </c>
      <c r="O912" s="2">
        <v>45055</v>
      </c>
      <c r="P912" t="s">
        <v>55</v>
      </c>
      <c r="Q912" t="s">
        <v>29</v>
      </c>
      <c r="R912" t="s">
        <v>47</v>
      </c>
      <c r="S912">
        <v>9</v>
      </c>
      <c r="T912">
        <v>10</v>
      </c>
      <c r="U912" t="s">
        <v>68</v>
      </c>
      <c r="V912" t="str">
        <f t="shared" si="14"/>
        <v>Apr-2023</v>
      </c>
      <c r="W912" s="16">
        <f>Table1[[#This Row],[Consultation Date]] - Table1[[#This Row],[Appointment Date]]</f>
        <v>61</v>
      </c>
    </row>
    <row r="913" spans="1:23" x14ac:dyDescent="0.3">
      <c r="A913" t="s">
        <v>970</v>
      </c>
      <c r="B913">
        <v>62</v>
      </c>
      <c r="C913" t="s">
        <v>41</v>
      </c>
      <c r="D913" s="2">
        <v>45436</v>
      </c>
      <c r="E913" s="2">
        <v>45449</v>
      </c>
      <c r="F913">
        <v>13</v>
      </c>
      <c r="G913" t="s">
        <v>63</v>
      </c>
      <c r="H913">
        <v>2</v>
      </c>
      <c r="I913" t="s">
        <v>35</v>
      </c>
      <c r="J913">
        <v>6074</v>
      </c>
      <c r="K913" t="s">
        <v>25</v>
      </c>
      <c r="L913" t="s">
        <v>26</v>
      </c>
      <c r="M913" t="s">
        <v>41</v>
      </c>
      <c r="N913" s="2">
        <v>45432</v>
      </c>
      <c r="O913" s="2">
        <v>45432.25</v>
      </c>
      <c r="P913" t="s">
        <v>42</v>
      </c>
      <c r="Q913" t="s">
        <v>29</v>
      </c>
      <c r="R913" t="s">
        <v>43</v>
      </c>
      <c r="S913">
        <v>6</v>
      </c>
      <c r="T913">
        <v>8</v>
      </c>
      <c r="U913" t="s">
        <v>68</v>
      </c>
      <c r="V913" t="str">
        <f t="shared" si="14"/>
        <v>May-2024</v>
      </c>
      <c r="W913" s="16">
        <f>Table1[[#This Row],[Consultation Date]] - Table1[[#This Row],[Appointment Date]]</f>
        <v>0.25</v>
      </c>
    </row>
    <row r="914" spans="1:23" x14ac:dyDescent="0.3">
      <c r="A914" t="s">
        <v>971</v>
      </c>
      <c r="B914">
        <v>57</v>
      </c>
      <c r="C914" t="s">
        <v>41</v>
      </c>
      <c r="D914" s="2">
        <v>45073</v>
      </c>
      <c r="E914" s="2">
        <v>45074</v>
      </c>
      <c r="F914">
        <v>1</v>
      </c>
      <c r="G914" t="s">
        <v>34</v>
      </c>
      <c r="H914">
        <v>5</v>
      </c>
      <c r="I914" t="s">
        <v>24</v>
      </c>
      <c r="J914">
        <v>47676</v>
      </c>
      <c r="K914" t="s">
        <v>60</v>
      </c>
      <c r="L914" t="s">
        <v>54</v>
      </c>
      <c r="M914" t="s">
        <v>27</v>
      </c>
      <c r="N914" s="2">
        <v>45070</v>
      </c>
      <c r="O914" s="2">
        <v>45071.583333333336</v>
      </c>
      <c r="P914" t="s">
        <v>37</v>
      </c>
      <c r="Q914" t="s">
        <v>29</v>
      </c>
      <c r="R914" t="s">
        <v>43</v>
      </c>
      <c r="S914">
        <v>7</v>
      </c>
      <c r="T914">
        <v>8</v>
      </c>
      <c r="U914" t="s">
        <v>48</v>
      </c>
      <c r="V914" t="str">
        <f t="shared" si="14"/>
        <v>May-2023</v>
      </c>
      <c r="W914" s="16">
        <f>Table1[[#This Row],[Consultation Date]] - Table1[[#This Row],[Appointment Date]]</f>
        <v>1.5833333333357587</v>
      </c>
    </row>
    <row r="915" spans="1:23" x14ac:dyDescent="0.3">
      <c r="A915" t="s">
        <v>972</v>
      </c>
      <c r="B915">
        <v>66</v>
      </c>
      <c r="C915" t="s">
        <v>45</v>
      </c>
      <c r="D915" s="2">
        <v>45164</v>
      </c>
      <c r="E915" s="2">
        <v>45178</v>
      </c>
      <c r="F915">
        <v>14</v>
      </c>
      <c r="G915" t="s">
        <v>34</v>
      </c>
      <c r="H915">
        <v>4</v>
      </c>
      <c r="I915" t="s">
        <v>66</v>
      </c>
      <c r="J915">
        <v>14475</v>
      </c>
      <c r="K915" t="s">
        <v>53</v>
      </c>
      <c r="L915" t="s">
        <v>54</v>
      </c>
      <c r="M915" t="s">
        <v>27</v>
      </c>
      <c r="N915" s="2">
        <v>45162</v>
      </c>
      <c r="O915" s="2">
        <v>45162.291666666664</v>
      </c>
      <c r="P915" t="s">
        <v>64</v>
      </c>
      <c r="Q915" t="s">
        <v>29</v>
      </c>
      <c r="R915" t="s">
        <v>43</v>
      </c>
      <c r="S915">
        <v>9</v>
      </c>
      <c r="T915">
        <v>10</v>
      </c>
      <c r="U915" t="s">
        <v>68</v>
      </c>
      <c r="V915" t="str">
        <f t="shared" si="14"/>
        <v>Aug-2023</v>
      </c>
      <c r="W915" s="16">
        <f>Table1[[#This Row],[Consultation Date]] - Table1[[#This Row],[Appointment Date]]</f>
        <v>0.29166666666424135</v>
      </c>
    </row>
    <row r="916" spans="1:23" x14ac:dyDescent="0.3">
      <c r="A916" t="s">
        <v>973</v>
      </c>
      <c r="B916">
        <v>79</v>
      </c>
      <c r="C916" t="s">
        <v>45</v>
      </c>
      <c r="D916" s="2">
        <v>45399</v>
      </c>
      <c r="E916" s="2">
        <v>45410</v>
      </c>
      <c r="F916">
        <v>11</v>
      </c>
      <c r="G916" t="s">
        <v>23</v>
      </c>
      <c r="H916">
        <v>3</v>
      </c>
      <c r="I916" t="s">
        <v>24</v>
      </c>
      <c r="J916">
        <v>17878</v>
      </c>
      <c r="K916" t="s">
        <v>25</v>
      </c>
      <c r="L916" t="s">
        <v>26</v>
      </c>
      <c r="M916" t="s">
        <v>41</v>
      </c>
      <c r="N916" s="2">
        <v>45399</v>
      </c>
      <c r="O916" s="2">
        <v>45400.375</v>
      </c>
      <c r="P916" t="s">
        <v>42</v>
      </c>
      <c r="Q916" t="s">
        <v>29</v>
      </c>
      <c r="R916" t="s">
        <v>47</v>
      </c>
      <c r="S916">
        <v>5</v>
      </c>
      <c r="T916">
        <v>10</v>
      </c>
      <c r="U916" t="s">
        <v>68</v>
      </c>
      <c r="V916" t="str">
        <f t="shared" si="14"/>
        <v>Apr-2024</v>
      </c>
      <c r="W916" s="16">
        <f>Table1[[#This Row],[Consultation Date]] - Table1[[#This Row],[Appointment Date]]</f>
        <v>1.375</v>
      </c>
    </row>
    <row r="917" spans="1:23" x14ac:dyDescent="0.3">
      <c r="A917" t="s">
        <v>974</v>
      </c>
      <c r="B917">
        <v>75</v>
      </c>
      <c r="C917" t="s">
        <v>45</v>
      </c>
      <c r="D917" s="2">
        <v>45187</v>
      </c>
      <c r="E917" s="2">
        <v>45193</v>
      </c>
      <c r="F917">
        <v>6</v>
      </c>
      <c r="G917" t="s">
        <v>40</v>
      </c>
      <c r="H917">
        <v>2</v>
      </c>
      <c r="I917" t="s">
        <v>46</v>
      </c>
      <c r="J917">
        <v>20120</v>
      </c>
      <c r="K917" t="s">
        <v>60</v>
      </c>
      <c r="L917" t="s">
        <v>26</v>
      </c>
      <c r="M917" t="s">
        <v>27</v>
      </c>
      <c r="N917" s="2">
        <v>45183</v>
      </c>
      <c r="O917" s="2">
        <v>45183.375</v>
      </c>
      <c r="P917" t="s">
        <v>28</v>
      </c>
      <c r="Q917" t="s">
        <v>29</v>
      </c>
      <c r="R917" t="s">
        <v>47</v>
      </c>
      <c r="S917">
        <v>8</v>
      </c>
      <c r="T917">
        <v>8</v>
      </c>
      <c r="U917" t="s">
        <v>68</v>
      </c>
      <c r="V917" t="str">
        <f t="shared" si="14"/>
        <v>Sep-2023</v>
      </c>
      <c r="W917" s="16">
        <f>Table1[[#This Row],[Consultation Date]] - Table1[[#This Row],[Appointment Date]]</f>
        <v>0.375</v>
      </c>
    </row>
    <row r="918" spans="1:23" x14ac:dyDescent="0.3">
      <c r="A918" t="s">
        <v>975</v>
      </c>
      <c r="B918">
        <v>8</v>
      </c>
      <c r="C918" t="s">
        <v>52</v>
      </c>
      <c r="D918" s="2">
        <v>45397</v>
      </c>
      <c r="E918" s="2">
        <v>45402</v>
      </c>
      <c r="F918">
        <v>5</v>
      </c>
      <c r="G918" t="s">
        <v>63</v>
      </c>
      <c r="H918">
        <v>4</v>
      </c>
      <c r="I918" t="s">
        <v>24</v>
      </c>
      <c r="J918">
        <v>28147</v>
      </c>
      <c r="K918" t="s">
        <v>36</v>
      </c>
      <c r="L918" t="s">
        <v>54</v>
      </c>
      <c r="M918" t="s">
        <v>27</v>
      </c>
      <c r="N918" s="2">
        <v>45569</v>
      </c>
      <c r="O918" s="2">
        <v>45600.708333333336</v>
      </c>
      <c r="P918" t="s">
        <v>55</v>
      </c>
      <c r="Q918" t="s">
        <v>29</v>
      </c>
      <c r="R918" t="s">
        <v>47</v>
      </c>
      <c r="S918">
        <v>10</v>
      </c>
      <c r="T918">
        <v>12</v>
      </c>
      <c r="U918" t="s">
        <v>31</v>
      </c>
      <c r="V918" t="str">
        <f t="shared" si="14"/>
        <v>Apr-2024</v>
      </c>
      <c r="W918" s="16">
        <f>Table1[[#This Row],[Consultation Date]] - Table1[[#This Row],[Appointment Date]]</f>
        <v>31.708333333335759</v>
      </c>
    </row>
    <row r="919" spans="1:23" x14ac:dyDescent="0.3">
      <c r="A919" t="s">
        <v>976</v>
      </c>
      <c r="B919">
        <v>26</v>
      </c>
      <c r="C919" t="s">
        <v>45</v>
      </c>
      <c r="D919" s="2">
        <v>45188</v>
      </c>
      <c r="E919" s="2">
        <v>45190</v>
      </c>
      <c r="F919">
        <v>2</v>
      </c>
      <c r="G919" t="s">
        <v>57</v>
      </c>
      <c r="H919">
        <v>1</v>
      </c>
      <c r="I919" t="s">
        <v>46</v>
      </c>
      <c r="J919">
        <v>6986</v>
      </c>
      <c r="K919" t="s">
        <v>36</v>
      </c>
      <c r="L919" t="s">
        <v>26</v>
      </c>
      <c r="M919" t="s">
        <v>27</v>
      </c>
      <c r="N919" s="2">
        <v>45183</v>
      </c>
      <c r="O919" s="2">
        <v>45184.083333333336</v>
      </c>
      <c r="P919" t="s">
        <v>42</v>
      </c>
      <c r="Q919" t="s">
        <v>38</v>
      </c>
      <c r="R919" t="s">
        <v>43</v>
      </c>
      <c r="S919">
        <v>11</v>
      </c>
      <c r="T919">
        <v>8</v>
      </c>
      <c r="U919" t="s">
        <v>31</v>
      </c>
      <c r="V919" t="str">
        <f t="shared" si="14"/>
        <v>Sep-2023</v>
      </c>
      <c r="W919" s="16">
        <f>Table1[[#This Row],[Consultation Date]] - Table1[[#This Row],[Appointment Date]]</f>
        <v>1.0833333333357587</v>
      </c>
    </row>
    <row r="920" spans="1:23" x14ac:dyDescent="0.3">
      <c r="A920" t="s">
        <v>977</v>
      </c>
      <c r="B920">
        <v>51</v>
      </c>
      <c r="C920" t="s">
        <v>52</v>
      </c>
      <c r="D920" s="2">
        <v>45200</v>
      </c>
      <c r="E920" s="2">
        <v>44949</v>
      </c>
      <c r="F920">
        <v>13</v>
      </c>
      <c r="G920" t="s">
        <v>34</v>
      </c>
      <c r="H920">
        <v>5</v>
      </c>
      <c r="I920" t="s">
        <v>46</v>
      </c>
      <c r="J920">
        <v>48593</v>
      </c>
      <c r="K920" t="s">
        <v>53</v>
      </c>
      <c r="L920" t="s">
        <v>26</v>
      </c>
      <c r="M920" t="s">
        <v>27</v>
      </c>
      <c r="N920" s="2">
        <v>45078</v>
      </c>
      <c r="O920" s="2">
        <v>45078.208333333336</v>
      </c>
      <c r="P920" t="s">
        <v>64</v>
      </c>
      <c r="Q920" t="s">
        <v>29</v>
      </c>
      <c r="R920" t="s">
        <v>30</v>
      </c>
      <c r="S920">
        <v>4</v>
      </c>
      <c r="T920">
        <v>12</v>
      </c>
      <c r="U920" t="s">
        <v>31</v>
      </c>
      <c r="V920" t="str">
        <f t="shared" si="14"/>
        <v>Oct-2023</v>
      </c>
      <c r="W920" s="16">
        <f>Table1[[#This Row],[Consultation Date]] - Table1[[#This Row],[Appointment Date]]</f>
        <v>0.20833333333575865</v>
      </c>
    </row>
    <row r="921" spans="1:23" x14ac:dyDescent="0.3">
      <c r="A921" t="s">
        <v>978</v>
      </c>
      <c r="B921">
        <v>45</v>
      </c>
      <c r="C921" t="s">
        <v>45</v>
      </c>
      <c r="D921" s="2">
        <v>45403</v>
      </c>
      <c r="E921" s="2">
        <v>45409</v>
      </c>
      <c r="F921">
        <v>6</v>
      </c>
      <c r="G921" t="s">
        <v>57</v>
      </c>
      <c r="H921">
        <v>1</v>
      </c>
      <c r="I921" t="s">
        <v>24</v>
      </c>
      <c r="J921">
        <v>37430</v>
      </c>
      <c r="K921" t="s">
        <v>25</v>
      </c>
      <c r="L921" t="s">
        <v>54</v>
      </c>
      <c r="M921" t="s">
        <v>27</v>
      </c>
      <c r="N921" s="2">
        <v>45400</v>
      </c>
      <c r="O921" s="2">
        <v>45401.583333333336</v>
      </c>
      <c r="P921" t="s">
        <v>64</v>
      </c>
      <c r="Q921" t="s">
        <v>29</v>
      </c>
      <c r="R921" t="s">
        <v>43</v>
      </c>
      <c r="S921">
        <v>8</v>
      </c>
      <c r="T921">
        <v>10</v>
      </c>
      <c r="U921" t="s">
        <v>48</v>
      </c>
      <c r="V921" t="str">
        <f t="shared" si="14"/>
        <v>Apr-2024</v>
      </c>
      <c r="W921" s="16">
        <f>Table1[[#This Row],[Consultation Date]] - Table1[[#This Row],[Appointment Date]]</f>
        <v>1.5833333333357587</v>
      </c>
    </row>
    <row r="922" spans="1:23" x14ac:dyDescent="0.3">
      <c r="A922" t="s">
        <v>979</v>
      </c>
      <c r="B922">
        <v>44</v>
      </c>
      <c r="C922" t="s">
        <v>33</v>
      </c>
      <c r="D922" s="2">
        <v>45221</v>
      </c>
      <c r="E922" s="2">
        <v>45228</v>
      </c>
      <c r="F922">
        <v>7</v>
      </c>
      <c r="G922" t="s">
        <v>34</v>
      </c>
      <c r="H922">
        <v>2</v>
      </c>
      <c r="I922" t="s">
        <v>24</v>
      </c>
      <c r="J922">
        <v>46961</v>
      </c>
      <c r="K922" t="s">
        <v>67</v>
      </c>
      <c r="L922" t="s">
        <v>54</v>
      </c>
      <c r="M922" t="s">
        <v>27</v>
      </c>
      <c r="N922" s="2">
        <v>45216</v>
      </c>
      <c r="O922" s="2">
        <v>45217.541666666664</v>
      </c>
      <c r="P922" t="s">
        <v>64</v>
      </c>
      <c r="Q922" t="s">
        <v>29</v>
      </c>
      <c r="R922" t="s">
        <v>47</v>
      </c>
      <c r="S922">
        <v>7</v>
      </c>
      <c r="T922">
        <v>10</v>
      </c>
      <c r="U922" t="s">
        <v>48</v>
      </c>
      <c r="V922" t="str">
        <f t="shared" si="14"/>
        <v>Oct-2023</v>
      </c>
      <c r="W922" s="16">
        <f>Table1[[#This Row],[Consultation Date]] - Table1[[#This Row],[Appointment Date]]</f>
        <v>1.5416666666642413</v>
      </c>
    </row>
    <row r="923" spans="1:23" x14ac:dyDescent="0.3">
      <c r="A923" t="s">
        <v>980</v>
      </c>
      <c r="B923">
        <v>5</v>
      </c>
      <c r="C923" t="s">
        <v>41</v>
      </c>
      <c r="D923" s="2">
        <v>45236</v>
      </c>
      <c r="E923" s="2">
        <v>45103</v>
      </c>
      <c r="F923">
        <v>15</v>
      </c>
      <c r="G923" t="s">
        <v>57</v>
      </c>
      <c r="H923">
        <v>2</v>
      </c>
      <c r="I923" t="s">
        <v>46</v>
      </c>
      <c r="J923">
        <v>22430</v>
      </c>
      <c r="K923" t="s">
        <v>25</v>
      </c>
      <c r="L923" t="s">
        <v>54</v>
      </c>
      <c r="M923" t="s">
        <v>27</v>
      </c>
      <c r="N923" s="2">
        <v>45144</v>
      </c>
      <c r="O923" s="2">
        <v>45144.166666666664</v>
      </c>
      <c r="P923" t="s">
        <v>42</v>
      </c>
      <c r="Q923" t="s">
        <v>38</v>
      </c>
      <c r="R923" t="s">
        <v>30</v>
      </c>
      <c r="S923">
        <v>6</v>
      </c>
      <c r="T923">
        <v>10</v>
      </c>
      <c r="U923" t="s">
        <v>68</v>
      </c>
      <c r="V923" t="str">
        <f t="shared" si="14"/>
        <v>Nov-2023</v>
      </c>
      <c r="W923" s="16">
        <f>Table1[[#This Row],[Consultation Date]] - Table1[[#This Row],[Appointment Date]]</f>
        <v>0.16666666666424135</v>
      </c>
    </row>
    <row r="924" spans="1:23" x14ac:dyDescent="0.3">
      <c r="A924" t="s">
        <v>981</v>
      </c>
      <c r="B924">
        <v>70</v>
      </c>
      <c r="C924" t="s">
        <v>45</v>
      </c>
      <c r="D924" s="2">
        <v>45002</v>
      </c>
      <c r="E924" s="2">
        <v>45009</v>
      </c>
      <c r="F924">
        <v>7</v>
      </c>
      <c r="G924" t="s">
        <v>63</v>
      </c>
      <c r="H924">
        <v>1</v>
      </c>
      <c r="I924" t="s">
        <v>66</v>
      </c>
      <c r="J924">
        <v>7176</v>
      </c>
      <c r="K924" t="s">
        <v>36</v>
      </c>
      <c r="L924" t="s">
        <v>54</v>
      </c>
      <c r="M924" t="s">
        <v>27</v>
      </c>
      <c r="N924" s="2">
        <v>45002</v>
      </c>
      <c r="O924" s="2">
        <v>45003.166666666664</v>
      </c>
      <c r="P924" t="s">
        <v>64</v>
      </c>
      <c r="Q924" t="s">
        <v>29</v>
      </c>
      <c r="R924" t="s">
        <v>30</v>
      </c>
      <c r="S924">
        <v>7</v>
      </c>
      <c r="T924">
        <v>12</v>
      </c>
      <c r="U924" t="s">
        <v>31</v>
      </c>
      <c r="V924" t="str">
        <f t="shared" si="14"/>
        <v>Mar-2023</v>
      </c>
      <c r="W924" s="16">
        <f>Table1[[#This Row],[Consultation Date]] - Table1[[#This Row],[Appointment Date]]</f>
        <v>1.1666666666642413</v>
      </c>
    </row>
    <row r="925" spans="1:23" x14ac:dyDescent="0.3">
      <c r="A925" t="s">
        <v>982</v>
      </c>
      <c r="B925">
        <v>26</v>
      </c>
      <c r="C925" t="s">
        <v>22</v>
      </c>
      <c r="D925" s="2">
        <v>45379</v>
      </c>
      <c r="E925" s="2">
        <v>45539</v>
      </c>
      <c r="F925">
        <v>12</v>
      </c>
      <c r="G925" t="s">
        <v>40</v>
      </c>
      <c r="H925">
        <v>2</v>
      </c>
      <c r="I925" t="s">
        <v>46</v>
      </c>
      <c r="J925">
        <v>23722</v>
      </c>
      <c r="K925" t="s">
        <v>60</v>
      </c>
      <c r="L925" t="s">
        <v>54</v>
      </c>
      <c r="M925" t="s">
        <v>27</v>
      </c>
      <c r="N925" s="2">
        <v>45379</v>
      </c>
      <c r="O925" s="2">
        <v>45380.791666666664</v>
      </c>
      <c r="P925" t="s">
        <v>42</v>
      </c>
      <c r="Q925" t="s">
        <v>29</v>
      </c>
      <c r="R925" t="s">
        <v>47</v>
      </c>
      <c r="S925">
        <v>8</v>
      </c>
      <c r="T925">
        <v>8</v>
      </c>
      <c r="U925" t="s">
        <v>48</v>
      </c>
      <c r="V925" t="str">
        <f t="shared" si="14"/>
        <v>Mar-2024</v>
      </c>
      <c r="W925" s="16">
        <f>Table1[[#This Row],[Consultation Date]] - Table1[[#This Row],[Appointment Date]]</f>
        <v>1.7916666666642413</v>
      </c>
    </row>
    <row r="926" spans="1:23" x14ac:dyDescent="0.3">
      <c r="A926" t="s">
        <v>983</v>
      </c>
      <c r="B926">
        <v>68</v>
      </c>
      <c r="C926" t="s">
        <v>41</v>
      </c>
      <c r="D926" s="2">
        <v>45280</v>
      </c>
      <c r="E926" s="2">
        <v>45288</v>
      </c>
      <c r="F926">
        <v>8</v>
      </c>
      <c r="G926" t="s">
        <v>63</v>
      </c>
      <c r="H926">
        <v>4</v>
      </c>
      <c r="I926" t="s">
        <v>71</v>
      </c>
      <c r="J926">
        <v>47815</v>
      </c>
      <c r="K926" t="s">
        <v>67</v>
      </c>
      <c r="L926" t="s">
        <v>26</v>
      </c>
      <c r="M926" t="s">
        <v>27</v>
      </c>
      <c r="N926" s="2">
        <v>45276</v>
      </c>
      <c r="O926" s="2">
        <v>45276.375</v>
      </c>
      <c r="P926" t="s">
        <v>64</v>
      </c>
      <c r="Q926" t="s">
        <v>29</v>
      </c>
      <c r="R926" t="s">
        <v>30</v>
      </c>
      <c r="S926">
        <v>8</v>
      </c>
      <c r="T926">
        <v>12</v>
      </c>
      <c r="U926" t="s">
        <v>31</v>
      </c>
      <c r="V926" t="str">
        <f t="shared" si="14"/>
        <v>Dec-2023</v>
      </c>
      <c r="W926" s="16">
        <f>Table1[[#This Row],[Consultation Date]] - Table1[[#This Row],[Appointment Date]]</f>
        <v>0.375</v>
      </c>
    </row>
    <row r="927" spans="1:23" x14ac:dyDescent="0.3">
      <c r="A927" t="s">
        <v>984</v>
      </c>
      <c r="B927">
        <v>19</v>
      </c>
      <c r="C927" t="s">
        <v>41</v>
      </c>
      <c r="D927" s="2">
        <v>44996</v>
      </c>
      <c r="E927" s="2">
        <v>45248</v>
      </c>
      <c r="F927">
        <v>15</v>
      </c>
      <c r="G927" t="s">
        <v>23</v>
      </c>
      <c r="H927">
        <v>2</v>
      </c>
      <c r="I927" t="s">
        <v>46</v>
      </c>
      <c r="J927">
        <v>23617</v>
      </c>
      <c r="K927" t="s">
        <v>53</v>
      </c>
      <c r="L927" t="s">
        <v>26</v>
      </c>
      <c r="M927" t="s">
        <v>27</v>
      </c>
      <c r="N927" s="2">
        <v>45229</v>
      </c>
      <c r="O927" s="2">
        <v>45229.666666666664</v>
      </c>
      <c r="P927" t="s">
        <v>28</v>
      </c>
      <c r="Q927" t="s">
        <v>29</v>
      </c>
      <c r="R927" t="s">
        <v>30</v>
      </c>
      <c r="S927">
        <v>9</v>
      </c>
      <c r="T927">
        <v>8</v>
      </c>
      <c r="U927" t="s">
        <v>48</v>
      </c>
      <c r="V927" t="str">
        <f t="shared" si="14"/>
        <v>Mar-2023</v>
      </c>
      <c r="W927" s="16">
        <f>Table1[[#This Row],[Consultation Date]] - Table1[[#This Row],[Appointment Date]]</f>
        <v>0.66666666666424135</v>
      </c>
    </row>
    <row r="928" spans="1:23" x14ac:dyDescent="0.3">
      <c r="A928" t="s">
        <v>985</v>
      </c>
      <c r="B928">
        <v>84</v>
      </c>
      <c r="C928" t="s">
        <v>45</v>
      </c>
      <c r="D928" s="2">
        <v>45568</v>
      </c>
      <c r="E928" s="2">
        <v>45368</v>
      </c>
      <c r="F928">
        <v>7</v>
      </c>
      <c r="G928" t="s">
        <v>50</v>
      </c>
      <c r="H928">
        <v>5</v>
      </c>
      <c r="I928" t="s">
        <v>66</v>
      </c>
      <c r="J928">
        <v>32115</v>
      </c>
      <c r="K928" t="s">
        <v>67</v>
      </c>
      <c r="L928" t="s">
        <v>26</v>
      </c>
      <c r="M928" t="s">
        <v>27</v>
      </c>
      <c r="N928" s="2">
        <v>45476</v>
      </c>
      <c r="O928" s="2">
        <v>45476.791666666664</v>
      </c>
      <c r="P928" t="s">
        <v>28</v>
      </c>
      <c r="Q928" t="s">
        <v>29</v>
      </c>
      <c r="R928" t="s">
        <v>47</v>
      </c>
      <c r="S928">
        <v>7</v>
      </c>
      <c r="T928">
        <v>8</v>
      </c>
      <c r="U928" t="s">
        <v>48</v>
      </c>
      <c r="V928" t="str">
        <f t="shared" si="14"/>
        <v>Oct-2024</v>
      </c>
      <c r="W928" s="16">
        <f>Table1[[#This Row],[Consultation Date]] - Table1[[#This Row],[Appointment Date]]</f>
        <v>0.79166666666424135</v>
      </c>
    </row>
    <row r="929" spans="1:23" x14ac:dyDescent="0.3">
      <c r="A929" t="s">
        <v>986</v>
      </c>
      <c r="B929">
        <v>20</v>
      </c>
      <c r="C929" t="s">
        <v>62</v>
      </c>
      <c r="D929" s="2">
        <v>45183</v>
      </c>
      <c r="E929" s="2">
        <v>45189</v>
      </c>
      <c r="F929">
        <v>6</v>
      </c>
      <c r="G929" t="s">
        <v>40</v>
      </c>
      <c r="H929">
        <v>4</v>
      </c>
      <c r="I929" t="s">
        <v>71</v>
      </c>
      <c r="J929">
        <v>42376</v>
      </c>
      <c r="K929" t="s">
        <v>53</v>
      </c>
      <c r="L929" t="s">
        <v>26</v>
      </c>
      <c r="M929" t="s">
        <v>27</v>
      </c>
      <c r="N929" s="2">
        <v>45183</v>
      </c>
      <c r="O929" s="2">
        <v>45183.708333333336</v>
      </c>
      <c r="P929" t="s">
        <v>37</v>
      </c>
      <c r="Q929" t="s">
        <v>29</v>
      </c>
      <c r="R929" t="s">
        <v>30</v>
      </c>
      <c r="S929">
        <v>7</v>
      </c>
      <c r="T929">
        <v>8</v>
      </c>
      <c r="U929" t="s">
        <v>68</v>
      </c>
      <c r="V929" t="str">
        <f t="shared" si="14"/>
        <v>Sep-2023</v>
      </c>
      <c r="W929" s="16">
        <f>Table1[[#This Row],[Consultation Date]] - Table1[[#This Row],[Appointment Date]]</f>
        <v>0.70833333333575865</v>
      </c>
    </row>
    <row r="930" spans="1:23" x14ac:dyDescent="0.3">
      <c r="A930" t="s">
        <v>987</v>
      </c>
      <c r="B930">
        <v>12</v>
      </c>
      <c r="C930" t="s">
        <v>45</v>
      </c>
      <c r="D930" s="2">
        <v>45630</v>
      </c>
      <c r="E930" s="2">
        <v>45397</v>
      </c>
      <c r="F930">
        <v>3</v>
      </c>
      <c r="G930" t="s">
        <v>63</v>
      </c>
      <c r="H930">
        <v>3</v>
      </c>
      <c r="I930" t="s">
        <v>35</v>
      </c>
      <c r="J930">
        <v>16906</v>
      </c>
      <c r="K930" t="s">
        <v>67</v>
      </c>
      <c r="L930" t="s">
        <v>26</v>
      </c>
      <c r="M930" t="s">
        <v>27</v>
      </c>
      <c r="N930" s="2">
        <v>45630</v>
      </c>
      <c r="O930" s="2">
        <v>45630.875</v>
      </c>
      <c r="P930" t="s">
        <v>64</v>
      </c>
      <c r="Q930" t="s">
        <v>29</v>
      </c>
      <c r="R930" t="s">
        <v>30</v>
      </c>
      <c r="S930">
        <v>7</v>
      </c>
      <c r="T930">
        <v>10</v>
      </c>
      <c r="U930" t="s">
        <v>68</v>
      </c>
      <c r="V930" t="str">
        <f t="shared" si="14"/>
        <v>Dec-2024</v>
      </c>
      <c r="W930" s="16">
        <f>Table1[[#This Row],[Consultation Date]] - Table1[[#This Row],[Appointment Date]]</f>
        <v>0.875</v>
      </c>
    </row>
    <row r="931" spans="1:23" x14ac:dyDescent="0.3">
      <c r="A931" t="s">
        <v>988</v>
      </c>
      <c r="B931">
        <v>47</v>
      </c>
      <c r="C931" t="s">
        <v>41</v>
      </c>
      <c r="D931" s="2">
        <v>45088</v>
      </c>
      <c r="E931" s="2">
        <v>45244</v>
      </c>
      <c r="F931">
        <v>8</v>
      </c>
      <c r="G931" t="s">
        <v>23</v>
      </c>
      <c r="H931">
        <v>2</v>
      </c>
      <c r="I931" t="s">
        <v>35</v>
      </c>
      <c r="J931">
        <v>45002</v>
      </c>
      <c r="K931" t="s">
        <v>53</v>
      </c>
      <c r="L931" t="s">
        <v>54</v>
      </c>
      <c r="M931" t="s">
        <v>41</v>
      </c>
      <c r="N931" s="2">
        <v>44968</v>
      </c>
      <c r="O931" s="2">
        <v>44996.083333333336</v>
      </c>
      <c r="P931" t="s">
        <v>64</v>
      </c>
      <c r="Q931" t="s">
        <v>38</v>
      </c>
      <c r="R931" t="s">
        <v>47</v>
      </c>
      <c r="S931">
        <v>4</v>
      </c>
      <c r="T931">
        <v>8</v>
      </c>
      <c r="U931" t="s">
        <v>48</v>
      </c>
      <c r="V931" t="str">
        <f t="shared" si="14"/>
        <v>Jun-2023</v>
      </c>
      <c r="W931" s="16">
        <f>Table1[[#This Row],[Consultation Date]] - Table1[[#This Row],[Appointment Date]]</f>
        <v>28.083333333335759</v>
      </c>
    </row>
    <row r="932" spans="1:23" x14ac:dyDescent="0.3">
      <c r="A932" t="s">
        <v>989</v>
      </c>
      <c r="B932">
        <v>1</v>
      </c>
      <c r="C932" t="s">
        <v>22</v>
      </c>
      <c r="D932" s="2">
        <v>45130</v>
      </c>
      <c r="E932" s="2">
        <v>45024</v>
      </c>
      <c r="F932">
        <v>12</v>
      </c>
      <c r="G932" t="s">
        <v>50</v>
      </c>
      <c r="H932">
        <v>2</v>
      </c>
      <c r="I932" t="s">
        <v>66</v>
      </c>
      <c r="J932">
        <v>11610</v>
      </c>
      <c r="K932" t="s">
        <v>53</v>
      </c>
      <c r="L932" t="s">
        <v>54</v>
      </c>
      <c r="M932" t="s">
        <v>27</v>
      </c>
      <c r="N932" s="2">
        <v>45125</v>
      </c>
      <c r="O932" s="2">
        <v>45126.875</v>
      </c>
      <c r="P932" t="s">
        <v>42</v>
      </c>
      <c r="Q932" t="s">
        <v>29</v>
      </c>
      <c r="R932" t="s">
        <v>30</v>
      </c>
      <c r="S932">
        <v>10</v>
      </c>
      <c r="T932">
        <v>10</v>
      </c>
      <c r="U932" t="s">
        <v>68</v>
      </c>
      <c r="V932" t="str">
        <f t="shared" si="14"/>
        <v>Jul-2023</v>
      </c>
      <c r="W932" s="16">
        <f>Table1[[#This Row],[Consultation Date]] - Table1[[#This Row],[Appointment Date]]</f>
        <v>1.875</v>
      </c>
    </row>
    <row r="933" spans="1:23" x14ac:dyDescent="0.3">
      <c r="A933" t="s">
        <v>990</v>
      </c>
      <c r="B933">
        <v>14</v>
      </c>
      <c r="C933" t="s">
        <v>41</v>
      </c>
      <c r="D933" s="2">
        <v>45320</v>
      </c>
      <c r="E933" s="2">
        <v>45445</v>
      </c>
      <c r="F933">
        <v>8</v>
      </c>
      <c r="G933" t="s">
        <v>23</v>
      </c>
      <c r="H933">
        <v>5</v>
      </c>
      <c r="I933" t="s">
        <v>46</v>
      </c>
      <c r="J933">
        <v>48292</v>
      </c>
      <c r="K933" t="s">
        <v>67</v>
      </c>
      <c r="L933" t="s">
        <v>26</v>
      </c>
      <c r="M933" t="s">
        <v>27</v>
      </c>
      <c r="N933" s="2">
        <v>45318</v>
      </c>
      <c r="O933" s="2">
        <v>45320</v>
      </c>
      <c r="P933" t="s">
        <v>42</v>
      </c>
      <c r="Q933" t="s">
        <v>29</v>
      </c>
      <c r="R933" t="s">
        <v>30</v>
      </c>
      <c r="S933">
        <v>8</v>
      </c>
      <c r="T933">
        <v>8</v>
      </c>
      <c r="U933" t="s">
        <v>48</v>
      </c>
      <c r="V933" t="str">
        <f t="shared" si="14"/>
        <v>Jan-2024</v>
      </c>
      <c r="W933" s="16">
        <f>Table1[[#This Row],[Consultation Date]] - Table1[[#This Row],[Appointment Date]]</f>
        <v>2</v>
      </c>
    </row>
    <row r="934" spans="1:23" x14ac:dyDescent="0.3">
      <c r="A934" t="s">
        <v>991</v>
      </c>
      <c r="B934">
        <v>64</v>
      </c>
      <c r="C934" t="s">
        <v>22</v>
      </c>
      <c r="D934" s="2">
        <v>45540</v>
      </c>
      <c r="E934" s="2">
        <v>45427</v>
      </c>
      <c r="F934">
        <v>6</v>
      </c>
      <c r="G934" t="s">
        <v>34</v>
      </c>
      <c r="H934">
        <v>5</v>
      </c>
      <c r="I934" t="s">
        <v>24</v>
      </c>
      <c r="J934">
        <v>18411</v>
      </c>
      <c r="K934" t="s">
        <v>67</v>
      </c>
      <c r="L934" t="s">
        <v>54</v>
      </c>
      <c r="M934" t="s">
        <v>41</v>
      </c>
      <c r="N934" s="2">
        <v>45417</v>
      </c>
      <c r="O934" s="2">
        <v>45417.875</v>
      </c>
      <c r="P934" t="s">
        <v>64</v>
      </c>
      <c r="Q934" t="s">
        <v>29</v>
      </c>
      <c r="R934" t="s">
        <v>30</v>
      </c>
      <c r="S934">
        <v>5</v>
      </c>
      <c r="T934">
        <v>8</v>
      </c>
      <c r="U934" t="s">
        <v>48</v>
      </c>
      <c r="V934" t="str">
        <f t="shared" si="14"/>
        <v>Sep-2024</v>
      </c>
      <c r="W934" s="16">
        <f>Table1[[#This Row],[Consultation Date]] - Table1[[#This Row],[Appointment Date]]</f>
        <v>0.875</v>
      </c>
    </row>
    <row r="935" spans="1:23" x14ac:dyDescent="0.3">
      <c r="A935" t="s">
        <v>992</v>
      </c>
      <c r="B935">
        <v>38</v>
      </c>
      <c r="C935" t="s">
        <v>52</v>
      </c>
      <c r="D935" s="2">
        <v>45036</v>
      </c>
      <c r="E935" s="2">
        <v>45051</v>
      </c>
      <c r="F935">
        <v>15</v>
      </c>
      <c r="G935" t="s">
        <v>34</v>
      </c>
      <c r="H935">
        <v>1</v>
      </c>
      <c r="I935" t="s">
        <v>66</v>
      </c>
      <c r="J935">
        <v>14180</v>
      </c>
      <c r="K935" t="s">
        <v>53</v>
      </c>
      <c r="L935" t="s">
        <v>54</v>
      </c>
      <c r="M935" t="s">
        <v>27</v>
      </c>
      <c r="N935" s="2">
        <v>45034</v>
      </c>
      <c r="O935" s="2">
        <v>45034.875</v>
      </c>
      <c r="P935" t="s">
        <v>37</v>
      </c>
      <c r="Q935" t="s">
        <v>29</v>
      </c>
      <c r="R935" t="s">
        <v>30</v>
      </c>
      <c r="S935">
        <v>4</v>
      </c>
      <c r="T935">
        <v>10</v>
      </c>
      <c r="U935" t="s">
        <v>31</v>
      </c>
      <c r="V935" t="str">
        <f t="shared" si="14"/>
        <v>Apr-2023</v>
      </c>
      <c r="W935" s="16">
        <f>Table1[[#This Row],[Consultation Date]] - Table1[[#This Row],[Appointment Date]]</f>
        <v>0.875</v>
      </c>
    </row>
    <row r="936" spans="1:23" x14ac:dyDescent="0.3">
      <c r="A936" t="s">
        <v>993</v>
      </c>
      <c r="B936">
        <v>37</v>
      </c>
      <c r="C936" t="s">
        <v>33</v>
      </c>
      <c r="D936" s="2">
        <v>45169</v>
      </c>
      <c r="E936" s="2">
        <v>45182</v>
      </c>
      <c r="F936">
        <v>13</v>
      </c>
      <c r="G936" t="s">
        <v>57</v>
      </c>
      <c r="H936">
        <v>1</v>
      </c>
      <c r="I936" t="s">
        <v>71</v>
      </c>
      <c r="J936">
        <v>15073</v>
      </c>
      <c r="K936" t="s">
        <v>36</v>
      </c>
      <c r="L936" t="s">
        <v>54</v>
      </c>
      <c r="M936" t="s">
        <v>27</v>
      </c>
      <c r="N936" s="2">
        <v>45169</v>
      </c>
      <c r="O936" s="2">
        <v>44935.208333333336</v>
      </c>
      <c r="P936" t="s">
        <v>64</v>
      </c>
      <c r="Q936" t="s">
        <v>29</v>
      </c>
      <c r="R936" t="s">
        <v>47</v>
      </c>
      <c r="S936">
        <v>4</v>
      </c>
      <c r="T936">
        <v>10</v>
      </c>
      <c r="U936" t="s">
        <v>68</v>
      </c>
      <c r="V936" t="str">
        <f t="shared" si="14"/>
        <v>Aug-2023</v>
      </c>
      <c r="W936" s="16">
        <f>Table1[[#This Row],[Consultation Date]] - Table1[[#This Row],[Appointment Date]]</f>
        <v>-233.79166666666424</v>
      </c>
    </row>
    <row r="937" spans="1:23" x14ac:dyDescent="0.3">
      <c r="A937" t="s">
        <v>994</v>
      </c>
      <c r="B937">
        <v>11</v>
      </c>
      <c r="C937" t="s">
        <v>41</v>
      </c>
      <c r="D937" s="2">
        <v>45317</v>
      </c>
      <c r="E937" s="2">
        <v>45384</v>
      </c>
      <c r="F937">
        <v>9</v>
      </c>
      <c r="G937" t="s">
        <v>40</v>
      </c>
      <c r="H937">
        <v>1</v>
      </c>
      <c r="I937" t="s">
        <v>71</v>
      </c>
      <c r="J937">
        <v>42251</v>
      </c>
      <c r="K937" t="s">
        <v>67</v>
      </c>
      <c r="L937" t="s">
        <v>26</v>
      </c>
      <c r="M937" t="s">
        <v>27</v>
      </c>
      <c r="N937" s="2">
        <v>45313</v>
      </c>
      <c r="O937" s="2">
        <v>45313.75</v>
      </c>
      <c r="P937" t="s">
        <v>42</v>
      </c>
      <c r="Q937" t="s">
        <v>29</v>
      </c>
      <c r="R937" t="s">
        <v>43</v>
      </c>
      <c r="S937">
        <v>4</v>
      </c>
      <c r="T937">
        <v>12</v>
      </c>
      <c r="U937" t="s">
        <v>68</v>
      </c>
      <c r="V937" t="str">
        <f t="shared" si="14"/>
        <v>Jan-2024</v>
      </c>
      <c r="W937" s="16">
        <f>Table1[[#This Row],[Consultation Date]] - Table1[[#This Row],[Appointment Date]]</f>
        <v>0.75</v>
      </c>
    </row>
    <row r="938" spans="1:23" x14ac:dyDescent="0.3">
      <c r="A938" t="s">
        <v>995</v>
      </c>
      <c r="B938">
        <v>77</v>
      </c>
      <c r="C938" t="s">
        <v>45</v>
      </c>
      <c r="D938" s="2">
        <v>45352</v>
      </c>
      <c r="E938" s="2">
        <v>45505</v>
      </c>
      <c r="F938">
        <v>5</v>
      </c>
      <c r="G938" t="s">
        <v>34</v>
      </c>
      <c r="H938">
        <v>5</v>
      </c>
      <c r="I938" t="s">
        <v>35</v>
      </c>
      <c r="J938">
        <v>35960</v>
      </c>
      <c r="K938" t="s">
        <v>25</v>
      </c>
      <c r="L938" t="s">
        <v>54</v>
      </c>
      <c r="M938" t="s">
        <v>41</v>
      </c>
      <c r="N938" s="2">
        <v>45289</v>
      </c>
      <c r="O938" s="2">
        <v>45289.625</v>
      </c>
      <c r="P938" t="s">
        <v>64</v>
      </c>
      <c r="Q938" t="s">
        <v>29</v>
      </c>
      <c r="R938" t="s">
        <v>43</v>
      </c>
      <c r="S938">
        <v>9</v>
      </c>
      <c r="T938">
        <v>8</v>
      </c>
      <c r="U938" t="s">
        <v>68</v>
      </c>
      <c r="V938" t="str">
        <f t="shared" si="14"/>
        <v>Mar-2024</v>
      </c>
      <c r="W938" s="16">
        <f>Table1[[#This Row],[Consultation Date]] - Table1[[#This Row],[Appointment Date]]</f>
        <v>0.625</v>
      </c>
    </row>
    <row r="939" spans="1:23" x14ac:dyDescent="0.3">
      <c r="A939" t="s">
        <v>996</v>
      </c>
      <c r="B939">
        <v>3</v>
      </c>
      <c r="C939" t="s">
        <v>52</v>
      </c>
      <c r="D939" s="2">
        <v>45229</v>
      </c>
      <c r="E939" s="2">
        <v>45271</v>
      </c>
      <c r="F939">
        <v>13</v>
      </c>
      <c r="G939" t="s">
        <v>23</v>
      </c>
      <c r="H939">
        <v>1</v>
      </c>
      <c r="I939" t="s">
        <v>71</v>
      </c>
      <c r="J939">
        <v>10901</v>
      </c>
      <c r="K939" t="s">
        <v>60</v>
      </c>
      <c r="L939" t="s">
        <v>26</v>
      </c>
      <c r="M939" t="s">
        <v>27</v>
      </c>
      <c r="N939" s="2">
        <v>45224</v>
      </c>
      <c r="O939" s="2">
        <v>45224.208333333336</v>
      </c>
      <c r="P939" t="s">
        <v>42</v>
      </c>
      <c r="Q939" t="s">
        <v>29</v>
      </c>
      <c r="R939" t="s">
        <v>30</v>
      </c>
      <c r="S939">
        <v>11</v>
      </c>
      <c r="T939">
        <v>10</v>
      </c>
      <c r="U939" t="s">
        <v>31</v>
      </c>
      <c r="V939" t="str">
        <f t="shared" si="14"/>
        <v>Oct-2023</v>
      </c>
      <c r="W939" s="16">
        <f>Table1[[#This Row],[Consultation Date]] - Table1[[#This Row],[Appointment Date]]</f>
        <v>0.20833333333575865</v>
      </c>
    </row>
    <row r="940" spans="1:23" x14ac:dyDescent="0.3">
      <c r="A940" t="s">
        <v>997</v>
      </c>
      <c r="B940">
        <v>33</v>
      </c>
      <c r="C940" t="s">
        <v>33</v>
      </c>
      <c r="D940" s="2">
        <v>45229</v>
      </c>
      <c r="E940" s="2">
        <v>44937</v>
      </c>
      <c r="F940">
        <v>2</v>
      </c>
      <c r="G940" t="s">
        <v>40</v>
      </c>
      <c r="H940">
        <v>1</v>
      </c>
      <c r="I940" t="s">
        <v>66</v>
      </c>
      <c r="J940">
        <v>43897</v>
      </c>
      <c r="K940" t="s">
        <v>53</v>
      </c>
      <c r="L940" t="s">
        <v>54</v>
      </c>
      <c r="M940" t="s">
        <v>27</v>
      </c>
      <c r="N940" s="2">
        <v>45226</v>
      </c>
      <c r="O940" s="2">
        <v>45226.541666666664</v>
      </c>
      <c r="P940" t="s">
        <v>64</v>
      </c>
      <c r="Q940" t="s">
        <v>29</v>
      </c>
      <c r="R940" t="s">
        <v>47</v>
      </c>
      <c r="S940">
        <v>10</v>
      </c>
      <c r="T940">
        <v>12</v>
      </c>
      <c r="U940" t="s">
        <v>31</v>
      </c>
      <c r="V940" t="str">
        <f t="shared" si="14"/>
        <v>Oct-2023</v>
      </c>
      <c r="W940" s="16">
        <f>Table1[[#This Row],[Consultation Date]] - Table1[[#This Row],[Appointment Date]]</f>
        <v>0.54166666666424135</v>
      </c>
    </row>
    <row r="941" spans="1:23" x14ac:dyDescent="0.3">
      <c r="A941" t="s">
        <v>998</v>
      </c>
      <c r="B941">
        <v>6</v>
      </c>
      <c r="C941" t="s">
        <v>45</v>
      </c>
      <c r="D941" s="2">
        <v>44949</v>
      </c>
      <c r="E941" s="2">
        <v>45018</v>
      </c>
      <c r="F941">
        <v>12</v>
      </c>
      <c r="G941" t="s">
        <v>34</v>
      </c>
      <c r="H941">
        <v>3</v>
      </c>
      <c r="I941" t="s">
        <v>71</v>
      </c>
      <c r="J941">
        <v>48183</v>
      </c>
      <c r="K941" t="s">
        <v>53</v>
      </c>
      <c r="L941" t="s">
        <v>26</v>
      </c>
      <c r="M941" t="s">
        <v>41</v>
      </c>
      <c r="N941" s="2">
        <v>44948</v>
      </c>
      <c r="O941" s="2">
        <v>44948.375</v>
      </c>
      <c r="P941" t="s">
        <v>55</v>
      </c>
      <c r="Q941" t="s">
        <v>29</v>
      </c>
      <c r="R941" t="s">
        <v>47</v>
      </c>
      <c r="S941">
        <v>10</v>
      </c>
      <c r="T941">
        <v>12</v>
      </c>
      <c r="U941" t="s">
        <v>31</v>
      </c>
      <c r="V941" t="str">
        <f t="shared" si="14"/>
        <v>Jan-2023</v>
      </c>
      <c r="W941" s="16">
        <f>Table1[[#This Row],[Consultation Date]] - Table1[[#This Row],[Appointment Date]]</f>
        <v>0.375</v>
      </c>
    </row>
    <row r="942" spans="1:23" x14ac:dyDescent="0.3">
      <c r="A942" t="s">
        <v>999</v>
      </c>
      <c r="B942">
        <v>50</v>
      </c>
      <c r="C942" t="s">
        <v>62</v>
      </c>
      <c r="D942" s="2">
        <v>45567</v>
      </c>
      <c r="E942" s="2">
        <v>45339</v>
      </c>
      <c r="F942">
        <v>7</v>
      </c>
      <c r="G942" t="s">
        <v>57</v>
      </c>
      <c r="H942">
        <v>1</v>
      </c>
      <c r="I942" t="s">
        <v>66</v>
      </c>
      <c r="J942">
        <v>9482</v>
      </c>
      <c r="K942" t="s">
        <v>60</v>
      </c>
      <c r="L942" t="s">
        <v>54</v>
      </c>
      <c r="M942" t="s">
        <v>27</v>
      </c>
      <c r="N942" s="2">
        <v>45567</v>
      </c>
      <c r="O942" s="2">
        <v>45598.583333333336</v>
      </c>
      <c r="P942" t="s">
        <v>42</v>
      </c>
      <c r="Q942" t="s">
        <v>29</v>
      </c>
      <c r="R942" t="s">
        <v>30</v>
      </c>
      <c r="S942">
        <v>5</v>
      </c>
      <c r="T942">
        <v>10</v>
      </c>
      <c r="U942" t="s">
        <v>68</v>
      </c>
      <c r="V942" t="str">
        <f t="shared" si="14"/>
        <v>Oct-2024</v>
      </c>
      <c r="W942" s="16">
        <f>Table1[[#This Row],[Consultation Date]] - Table1[[#This Row],[Appointment Date]]</f>
        <v>31.583333333335759</v>
      </c>
    </row>
    <row r="943" spans="1:23" x14ac:dyDescent="0.3">
      <c r="A943" t="s">
        <v>1000</v>
      </c>
      <c r="B943">
        <v>10</v>
      </c>
      <c r="C943" t="s">
        <v>45</v>
      </c>
      <c r="D943" s="2">
        <v>45179</v>
      </c>
      <c r="E943" s="2">
        <v>45240</v>
      </c>
      <c r="F943">
        <v>2</v>
      </c>
      <c r="G943" t="s">
        <v>63</v>
      </c>
      <c r="H943">
        <v>2</v>
      </c>
      <c r="I943" t="s">
        <v>24</v>
      </c>
      <c r="J943">
        <v>47454</v>
      </c>
      <c r="K943" t="s">
        <v>36</v>
      </c>
      <c r="L943" t="s">
        <v>26</v>
      </c>
      <c r="M943" t="s">
        <v>27</v>
      </c>
      <c r="N943" s="2">
        <v>45179</v>
      </c>
      <c r="O943" s="2">
        <v>45179.291666666664</v>
      </c>
      <c r="P943" t="s">
        <v>37</v>
      </c>
      <c r="Q943" t="s">
        <v>29</v>
      </c>
      <c r="R943" t="s">
        <v>43</v>
      </c>
      <c r="S943">
        <v>11</v>
      </c>
      <c r="T943">
        <v>8</v>
      </c>
      <c r="U943" t="s">
        <v>68</v>
      </c>
      <c r="V943" t="str">
        <f t="shared" si="14"/>
        <v>Sep-2023</v>
      </c>
      <c r="W943" s="16">
        <f>Table1[[#This Row],[Consultation Date]] - Table1[[#This Row],[Appointment Date]]</f>
        <v>0.29166666666424135</v>
      </c>
    </row>
    <row r="944" spans="1:23" x14ac:dyDescent="0.3">
      <c r="A944" t="s">
        <v>1001</v>
      </c>
      <c r="B944">
        <v>5</v>
      </c>
      <c r="C944" t="s">
        <v>22</v>
      </c>
      <c r="D944" s="2">
        <v>45170</v>
      </c>
      <c r="E944" s="2">
        <v>44942</v>
      </c>
      <c r="F944">
        <v>7</v>
      </c>
      <c r="G944" t="s">
        <v>57</v>
      </c>
      <c r="H944">
        <v>5</v>
      </c>
      <c r="I944" t="s">
        <v>35</v>
      </c>
      <c r="J944">
        <v>30428</v>
      </c>
      <c r="K944" t="s">
        <v>60</v>
      </c>
      <c r="L944" t="s">
        <v>54</v>
      </c>
      <c r="M944" t="s">
        <v>41</v>
      </c>
      <c r="N944" s="2">
        <v>45047</v>
      </c>
      <c r="O944" s="2">
        <v>45047.416666666664</v>
      </c>
      <c r="P944" t="s">
        <v>55</v>
      </c>
      <c r="Q944" t="s">
        <v>29</v>
      </c>
      <c r="R944" t="s">
        <v>30</v>
      </c>
      <c r="S944">
        <v>7</v>
      </c>
      <c r="T944">
        <v>12</v>
      </c>
      <c r="U944" t="s">
        <v>68</v>
      </c>
      <c r="V944" t="str">
        <f t="shared" si="14"/>
        <v>Sep-2023</v>
      </c>
      <c r="W944" s="16">
        <f>Table1[[#This Row],[Consultation Date]] - Table1[[#This Row],[Appointment Date]]</f>
        <v>0.41666666666424135</v>
      </c>
    </row>
    <row r="945" spans="1:23" x14ac:dyDescent="0.3">
      <c r="A945" t="s">
        <v>1002</v>
      </c>
      <c r="B945">
        <v>23</v>
      </c>
      <c r="C945" t="s">
        <v>22</v>
      </c>
      <c r="D945" s="2">
        <v>44977</v>
      </c>
      <c r="E945" s="2">
        <v>44960</v>
      </c>
      <c r="F945">
        <v>10</v>
      </c>
      <c r="G945" t="s">
        <v>50</v>
      </c>
      <c r="H945">
        <v>4</v>
      </c>
      <c r="I945" t="s">
        <v>71</v>
      </c>
      <c r="J945">
        <v>12400</v>
      </c>
      <c r="K945" t="s">
        <v>67</v>
      </c>
      <c r="L945" t="s">
        <v>26</v>
      </c>
      <c r="M945" t="s">
        <v>27</v>
      </c>
      <c r="N945" s="2">
        <v>44976</v>
      </c>
      <c r="O945" s="2">
        <v>44976.291666666664</v>
      </c>
      <c r="P945" t="s">
        <v>64</v>
      </c>
      <c r="Q945" t="s">
        <v>29</v>
      </c>
      <c r="R945" t="s">
        <v>47</v>
      </c>
      <c r="S945">
        <v>9</v>
      </c>
      <c r="T945">
        <v>8</v>
      </c>
      <c r="U945" t="s">
        <v>31</v>
      </c>
      <c r="V945" t="str">
        <f t="shared" si="14"/>
        <v>Feb-2023</v>
      </c>
      <c r="W945" s="16">
        <f>Table1[[#This Row],[Consultation Date]] - Table1[[#This Row],[Appointment Date]]</f>
        <v>0.29166666666424135</v>
      </c>
    </row>
    <row r="946" spans="1:23" x14ac:dyDescent="0.3">
      <c r="A946" t="s">
        <v>1003</v>
      </c>
      <c r="B946">
        <v>10</v>
      </c>
      <c r="C946" t="s">
        <v>62</v>
      </c>
      <c r="D946" s="2">
        <v>45435</v>
      </c>
      <c r="E946" s="2">
        <v>45449</v>
      </c>
      <c r="F946">
        <v>14</v>
      </c>
      <c r="G946" t="s">
        <v>34</v>
      </c>
      <c r="H946">
        <v>3</v>
      </c>
      <c r="I946" t="s">
        <v>66</v>
      </c>
      <c r="J946">
        <v>44574</v>
      </c>
      <c r="K946" t="s">
        <v>60</v>
      </c>
      <c r="L946" t="s">
        <v>54</v>
      </c>
      <c r="M946" t="s">
        <v>27</v>
      </c>
      <c r="N946" s="2">
        <v>45434</v>
      </c>
      <c r="O946" s="2">
        <v>45434.458333333336</v>
      </c>
      <c r="P946" t="s">
        <v>42</v>
      </c>
      <c r="Q946" t="s">
        <v>29</v>
      </c>
      <c r="R946" t="s">
        <v>47</v>
      </c>
      <c r="S946">
        <v>8</v>
      </c>
      <c r="T946">
        <v>8</v>
      </c>
      <c r="U946" t="s">
        <v>31</v>
      </c>
      <c r="V946" t="str">
        <f t="shared" si="14"/>
        <v>May-2024</v>
      </c>
      <c r="W946" s="16">
        <f>Table1[[#This Row],[Consultation Date]] - Table1[[#This Row],[Appointment Date]]</f>
        <v>0.45833333333575865</v>
      </c>
    </row>
    <row r="947" spans="1:23" x14ac:dyDescent="0.3">
      <c r="A947" t="s">
        <v>1004</v>
      </c>
      <c r="B947">
        <v>44</v>
      </c>
      <c r="C947" t="s">
        <v>52</v>
      </c>
      <c r="D947" s="2">
        <v>45220</v>
      </c>
      <c r="E947" s="2">
        <v>45223</v>
      </c>
      <c r="F947">
        <v>3</v>
      </c>
      <c r="G947" t="s">
        <v>50</v>
      </c>
      <c r="H947">
        <v>5</v>
      </c>
      <c r="I947" t="s">
        <v>46</v>
      </c>
      <c r="J947">
        <v>48284</v>
      </c>
      <c r="K947" t="s">
        <v>53</v>
      </c>
      <c r="L947" t="s">
        <v>54</v>
      </c>
      <c r="M947" t="s">
        <v>27</v>
      </c>
      <c r="N947" s="2">
        <v>45219</v>
      </c>
      <c r="O947" s="2">
        <v>45220.208333333336</v>
      </c>
      <c r="P947" t="s">
        <v>55</v>
      </c>
      <c r="Q947" t="s">
        <v>29</v>
      </c>
      <c r="R947" t="s">
        <v>43</v>
      </c>
      <c r="S947">
        <v>11</v>
      </c>
      <c r="T947">
        <v>12</v>
      </c>
      <c r="U947" t="s">
        <v>48</v>
      </c>
      <c r="V947" t="str">
        <f t="shared" si="14"/>
        <v>Oct-2023</v>
      </c>
      <c r="W947" s="16">
        <f>Table1[[#This Row],[Consultation Date]] - Table1[[#This Row],[Appointment Date]]</f>
        <v>1.2083333333357587</v>
      </c>
    </row>
    <row r="948" spans="1:23" x14ac:dyDescent="0.3">
      <c r="A948" t="s">
        <v>1005</v>
      </c>
      <c r="B948">
        <v>2</v>
      </c>
      <c r="C948" t="s">
        <v>33</v>
      </c>
      <c r="D948" s="2">
        <v>45162</v>
      </c>
      <c r="E948" s="2">
        <v>44966</v>
      </c>
      <c r="F948">
        <v>9</v>
      </c>
      <c r="G948" t="s">
        <v>50</v>
      </c>
      <c r="H948">
        <v>5</v>
      </c>
      <c r="I948" t="s">
        <v>35</v>
      </c>
      <c r="J948">
        <v>12396</v>
      </c>
      <c r="K948" t="s">
        <v>60</v>
      </c>
      <c r="L948" t="s">
        <v>54</v>
      </c>
      <c r="M948" t="s">
        <v>41</v>
      </c>
      <c r="N948" s="2">
        <v>45158</v>
      </c>
      <c r="O948" s="2">
        <v>45159.25</v>
      </c>
      <c r="P948" t="s">
        <v>37</v>
      </c>
      <c r="Q948" t="s">
        <v>29</v>
      </c>
      <c r="R948" t="s">
        <v>47</v>
      </c>
      <c r="S948">
        <v>6</v>
      </c>
      <c r="T948">
        <v>10</v>
      </c>
      <c r="U948" t="s">
        <v>31</v>
      </c>
      <c r="V948" t="str">
        <f t="shared" si="14"/>
        <v>Aug-2023</v>
      </c>
      <c r="W948" s="16">
        <f>Table1[[#This Row],[Consultation Date]] - Table1[[#This Row],[Appointment Date]]</f>
        <v>1.25</v>
      </c>
    </row>
    <row r="949" spans="1:23" x14ac:dyDescent="0.3">
      <c r="A949" t="s">
        <v>1006</v>
      </c>
      <c r="B949">
        <v>13</v>
      </c>
      <c r="C949" t="s">
        <v>45</v>
      </c>
      <c r="D949" s="2">
        <v>45287</v>
      </c>
      <c r="E949" s="2">
        <v>45292</v>
      </c>
      <c r="F949">
        <v>5</v>
      </c>
      <c r="G949" t="s">
        <v>23</v>
      </c>
      <c r="H949">
        <v>2</v>
      </c>
      <c r="I949" t="s">
        <v>24</v>
      </c>
      <c r="J949">
        <v>12338</v>
      </c>
      <c r="K949" t="s">
        <v>25</v>
      </c>
      <c r="L949" t="s">
        <v>54</v>
      </c>
      <c r="M949" t="s">
        <v>41</v>
      </c>
      <c r="N949" s="2">
        <v>45283</v>
      </c>
      <c r="O949" s="2">
        <v>45283.875</v>
      </c>
      <c r="P949" t="s">
        <v>42</v>
      </c>
      <c r="Q949" t="s">
        <v>29</v>
      </c>
      <c r="R949" t="s">
        <v>47</v>
      </c>
      <c r="S949">
        <v>9</v>
      </c>
      <c r="T949">
        <v>8</v>
      </c>
      <c r="U949" t="s">
        <v>48</v>
      </c>
      <c r="V949" t="str">
        <f t="shared" si="14"/>
        <v>Dec-2023</v>
      </c>
      <c r="W949" s="16">
        <f>Table1[[#This Row],[Consultation Date]] - Table1[[#This Row],[Appointment Date]]</f>
        <v>0.875</v>
      </c>
    </row>
    <row r="950" spans="1:23" x14ac:dyDescent="0.3">
      <c r="A950" t="s">
        <v>1007</v>
      </c>
      <c r="B950">
        <v>40</v>
      </c>
      <c r="C950" t="s">
        <v>22</v>
      </c>
      <c r="D950" s="2">
        <v>45151</v>
      </c>
      <c r="E950" s="2">
        <v>45157</v>
      </c>
      <c r="F950">
        <v>6</v>
      </c>
      <c r="G950" t="s">
        <v>40</v>
      </c>
      <c r="H950">
        <v>1</v>
      </c>
      <c r="I950" t="s">
        <v>66</v>
      </c>
      <c r="J950">
        <v>47718</v>
      </c>
      <c r="K950" t="s">
        <v>67</v>
      </c>
      <c r="L950" t="s">
        <v>54</v>
      </c>
      <c r="M950" t="s">
        <v>41</v>
      </c>
      <c r="N950" s="2">
        <v>45238</v>
      </c>
      <c r="O950" s="2">
        <v>45268.125</v>
      </c>
      <c r="P950" t="s">
        <v>55</v>
      </c>
      <c r="Q950" t="s">
        <v>29</v>
      </c>
      <c r="R950" t="s">
        <v>47</v>
      </c>
      <c r="S950">
        <v>6</v>
      </c>
      <c r="T950">
        <v>10</v>
      </c>
      <c r="U950" t="s">
        <v>68</v>
      </c>
      <c r="V950" t="str">
        <f t="shared" si="14"/>
        <v>Aug-2023</v>
      </c>
      <c r="W950" s="16">
        <f>Table1[[#This Row],[Consultation Date]] - Table1[[#This Row],[Appointment Date]]</f>
        <v>30.125</v>
      </c>
    </row>
    <row r="951" spans="1:23" x14ac:dyDescent="0.3">
      <c r="A951" t="s">
        <v>1008</v>
      </c>
      <c r="B951">
        <v>2</v>
      </c>
      <c r="C951" t="s">
        <v>52</v>
      </c>
      <c r="D951" s="2">
        <v>45121</v>
      </c>
      <c r="E951" s="2">
        <v>45123</v>
      </c>
      <c r="F951">
        <v>2</v>
      </c>
      <c r="G951" t="s">
        <v>23</v>
      </c>
      <c r="H951">
        <v>2</v>
      </c>
      <c r="I951" t="s">
        <v>24</v>
      </c>
      <c r="J951">
        <v>17500</v>
      </c>
      <c r="K951" t="s">
        <v>60</v>
      </c>
      <c r="L951" t="s">
        <v>54</v>
      </c>
      <c r="M951" t="s">
        <v>27</v>
      </c>
      <c r="N951" s="2">
        <v>45267</v>
      </c>
      <c r="O951" s="2">
        <v>45267.333333333336</v>
      </c>
      <c r="P951" t="s">
        <v>55</v>
      </c>
      <c r="Q951" t="s">
        <v>29</v>
      </c>
      <c r="R951" t="s">
        <v>43</v>
      </c>
      <c r="S951">
        <v>8</v>
      </c>
      <c r="T951">
        <v>12</v>
      </c>
      <c r="U951" t="s">
        <v>31</v>
      </c>
      <c r="V951" t="str">
        <f t="shared" si="14"/>
        <v>Jul-2023</v>
      </c>
      <c r="W951" s="16">
        <f>Table1[[#This Row],[Consultation Date]] - Table1[[#This Row],[Appointment Date]]</f>
        <v>0.33333333333575865</v>
      </c>
    </row>
    <row r="952" spans="1:23" x14ac:dyDescent="0.3">
      <c r="A952" t="s">
        <v>1009</v>
      </c>
      <c r="B952">
        <v>84</v>
      </c>
      <c r="C952" t="s">
        <v>62</v>
      </c>
      <c r="D952" s="2">
        <v>45183</v>
      </c>
      <c r="E952" s="2">
        <v>45185</v>
      </c>
      <c r="F952">
        <v>2</v>
      </c>
      <c r="G952" t="s">
        <v>34</v>
      </c>
      <c r="H952">
        <v>1</v>
      </c>
      <c r="I952" t="s">
        <v>24</v>
      </c>
      <c r="J952">
        <v>16545</v>
      </c>
      <c r="K952" t="s">
        <v>53</v>
      </c>
      <c r="L952" t="s">
        <v>26</v>
      </c>
      <c r="M952" t="s">
        <v>27</v>
      </c>
      <c r="N952" s="2">
        <v>45269</v>
      </c>
      <c r="O952" s="2">
        <v>45182.458333333336</v>
      </c>
      <c r="P952" t="s">
        <v>55</v>
      </c>
      <c r="Q952" t="s">
        <v>29</v>
      </c>
      <c r="R952" t="s">
        <v>47</v>
      </c>
      <c r="S952">
        <v>5</v>
      </c>
      <c r="T952">
        <v>8</v>
      </c>
      <c r="U952" t="s">
        <v>68</v>
      </c>
      <c r="V952" t="str">
        <f t="shared" si="14"/>
        <v>Sep-2023</v>
      </c>
      <c r="W952" s="16">
        <f>Table1[[#This Row],[Consultation Date]] - Table1[[#This Row],[Appointment Date]]</f>
        <v>-86.541666666664241</v>
      </c>
    </row>
    <row r="953" spans="1:23" x14ac:dyDescent="0.3">
      <c r="A953" t="s">
        <v>1010</v>
      </c>
      <c r="B953">
        <v>65</v>
      </c>
      <c r="C953" t="s">
        <v>41</v>
      </c>
      <c r="D953" s="2">
        <v>45067</v>
      </c>
      <c r="E953" s="2">
        <v>45073</v>
      </c>
      <c r="F953">
        <v>6</v>
      </c>
      <c r="G953" t="s">
        <v>50</v>
      </c>
      <c r="H953">
        <v>1</v>
      </c>
      <c r="I953" t="s">
        <v>71</v>
      </c>
      <c r="J953">
        <v>10241</v>
      </c>
      <c r="K953" t="s">
        <v>67</v>
      </c>
      <c r="L953" t="s">
        <v>26</v>
      </c>
      <c r="M953" t="s">
        <v>41</v>
      </c>
      <c r="N953" s="2">
        <v>45064</v>
      </c>
      <c r="O953" s="2">
        <v>45064.958333333336</v>
      </c>
      <c r="P953" t="s">
        <v>28</v>
      </c>
      <c r="Q953" t="s">
        <v>29</v>
      </c>
      <c r="R953" t="s">
        <v>30</v>
      </c>
      <c r="S953">
        <v>10</v>
      </c>
      <c r="T953">
        <v>10</v>
      </c>
      <c r="U953" t="s">
        <v>68</v>
      </c>
      <c r="V953" t="str">
        <f t="shared" si="14"/>
        <v>May-2023</v>
      </c>
      <c r="W953" s="16">
        <f>Table1[[#This Row],[Consultation Date]] - Table1[[#This Row],[Appointment Date]]</f>
        <v>0.95833333333575865</v>
      </c>
    </row>
    <row r="954" spans="1:23" x14ac:dyDescent="0.3">
      <c r="A954" t="s">
        <v>1011</v>
      </c>
      <c r="B954">
        <v>63</v>
      </c>
      <c r="C954" t="s">
        <v>22</v>
      </c>
      <c r="D954" s="2">
        <v>45203</v>
      </c>
      <c r="E954" s="2">
        <v>45037</v>
      </c>
      <c r="F954">
        <v>11</v>
      </c>
      <c r="G954" t="s">
        <v>63</v>
      </c>
      <c r="H954">
        <v>5</v>
      </c>
      <c r="I954" t="s">
        <v>71</v>
      </c>
      <c r="J954">
        <v>28778</v>
      </c>
      <c r="K954" t="s">
        <v>53</v>
      </c>
      <c r="L954" t="s">
        <v>54</v>
      </c>
      <c r="M954" t="s">
        <v>41</v>
      </c>
      <c r="N954" s="2">
        <v>45203</v>
      </c>
      <c r="O954" s="2">
        <v>45203.583333333336</v>
      </c>
      <c r="P954" t="s">
        <v>64</v>
      </c>
      <c r="Q954" t="s">
        <v>38</v>
      </c>
      <c r="R954" t="s">
        <v>43</v>
      </c>
      <c r="S954">
        <v>6</v>
      </c>
      <c r="T954">
        <v>10</v>
      </c>
      <c r="U954" t="s">
        <v>68</v>
      </c>
      <c r="V954" t="str">
        <f t="shared" si="14"/>
        <v>Oct-2023</v>
      </c>
      <c r="W954" s="16">
        <f>Table1[[#This Row],[Consultation Date]] - Table1[[#This Row],[Appointment Date]]</f>
        <v>0.58333333333575865</v>
      </c>
    </row>
    <row r="955" spans="1:23" x14ac:dyDescent="0.3">
      <c r="A955" t="s">
        <v>1012</v>
      </c>
      <c r="B955">
        <v>73</v>
      </c>
      <c r="C955" t="s">
        <v>62</v>
      </c>
      <c r="D955" s="2">
        <v>45201</v>
      </c>
      <c r="E955" s="2">
        <v>44972</v>
      </c>
      <c r="F955">
        <v>5</v>
      </c>
      <c r="G955" t="s">
        <v>50</v>
      </c>
      <c r="H955">
        <v>1</v>
      </c>
      <c r="I955" t="s">
        <v>66</v>
      </c>
      <c r="J955">
        <v>27821</v>
      </c>
      <c r="K955" t="s">
        <v>36</v>
      </c>
      <c r="L955" t="s">
        <v>26</v>
      </c>
      <c r="M955" t="s">
        <v>27</v>
      </c>
      <c r="N955" s="2">
        <v>45140</v>
      </c>
      <c r="O955" s="2">
        <v>45171.208333333336</v>
      </c>
      <c r="P955" t="s">
        <v>42</v>
      </c>
      <c r="Q955" t="s">
        <v>29</v>
      </c>
      <c r="R955" t="s">
        <v>30</v>
      </c>
      <c r="S955">
        <v>4</v>
      </c>
      <c r="T955">
        <v>8</v>
      </c>
      <c r="U955" t="s">
        <v>68</v>
      </c>
      <c r="V955" t="str">
        <f t="shared" si="14"/>
        <v>Oct-2023</v>
      </c>
      <c r="W955" s="16">
        <f>Table1[[#This Row],[Consultation Date]] - Table1[[#This Row],[Appointment Date]]</f>
        <v>31.208333333335759</v>
      </c>
    </row>
    <row r="956" spans="1:23" x14ac:dyDescent="0.3">
      <c r="A956" t="s">
        <v>1013</v>
      </c>
      <c r="B956">
        <v>17</v>
      </c>
      <c r="C956" t="s">
        <v>45</v>
      </c>
      <c r="D956" s="2">
        <v>45243</v>
      </c>
      <c r="E956" s="2">
        <v>45248</v>
      </c>
      <c r="F956">
        <v>5</v>
      </c>
      <c r="G956" t="s">
        <v>63</v>
      </c>
      <c r="H956">
        <v>3</v>
      </c>
      <c r="I956" t="s">
        <v>46</v>
      </c>
      <c r="J956">
        <v>9695</v>
      </c>
      <c r="K956" t="s">
        <v>25</v>
      </c>
      <c r="L956" t="s">
        <v>54</v>
      </c>
      <c r="M956" t="s">
        <v>27</v>
      </c>
      <c r="N956" s="2">
        <v>45210</v>
      </c>
      <c r="O956" s="2">
        <v>45210.833333333336</v>
      </c>
      <c r="P956" t="s">
        <v>42</v>
      </c>
      <c r="Q956" t="s">
        <v>29</v>
      </c>
      <c r="R956" t="s">
        <v>30</v>
      </c>
      <c r="S956">
        <v>9</v>
      </c>
      <c r="T956">
        <v>10</v>
      </c>
      <c r="U956" t="s">
        <v>31</v>
      </c>
      <c r="V956" t="str">
        <f t="shared" si="14"/>
        <v>Nov-2023</v>
      </c>
      <c r="W956" s="16">
        <f>Table1[[#This Row],[Consultation Date]] - Table1[[#This Row],[Appointment Date]]</f>
        <v>0.83333333333575865</v>
      </c>
    </row>
    <row r="957" spans="1:23" x14ac:dyDescent="0.3">
      <c r="A957" t="s">
        <v>1014</v>
      </c>
      <c r="B957">
        <v>9</v>
      </c>
      <c r="C957" t="s">
        <v>33</v>
      </c>
      <c r="D957" s="2">
        <v>45378</v>
      </c>
      <c r="E957" s="2">
        <v>45386</v>
      </c>
      <c r="F957">
        <v>8</v>
      </c>
      <c r="G957" t="s">
        <v>23</v>
      </c>
      <c r="H957">
        <v>3</v>
      </c>
      <c r="I957" t="s">
        <v>66</v>
      </c>
      <c r="J957">
        <v>16530</v>
      </c>
      <c r="K957" t="s">
        <v>36</v>
      </c>
      <c r="L957" t="s">
        <v>54</v>
      </c>
      <c r="M957" t="s">
        <v>27</v>
      </c>
      <c r="N957" s="2">
        <v>45375</v>
      </c>
      <c r="O957" s="2">
        <v>45376.25</v>
      </c>
      <c r="P957" t="s">
        <v>42</v>
      </c>
      <c r="Q957" t="s">
        <v>38</v>
      </c>
      <c r="R957" t="s">
        <v>43</v>
      </c>
      <c r="S957">
        <v>11</v>
      </c>
      <c r="T957">
        <v>10</v>
      </c>
      <c r="U957" t="s">
        <v>68</v>
      </c>
      <c r="V957" t="str">
        <f t="shared" si="14"/>
        <v>Mar-2024</v>
      </c>
      <c r="W957" s="16">
        <f>Table1[[#This Row],[Consultation Date]] - Table1[[#This Row],[Appointment Date]]</f>
        <v>1.25</v>
      </c>
    </row>
    <row r="958" spans="1:23" x14ac:dyDescent="0.3">
      <c r="A958" t="s">
        <v>1015</v>
      </c>
      <c r="B958">
        <v>75</v>
      </c>
      <c r="C958" t="s">
        <v>22</v>
      </c>
      <c r="D958" s="2">
        <v>45018</v>
      </c>
      <c r="E958" s="2">
        <v>44971</v>
      </c>
      <c r="F958">
        <v>10</v>
      </c>
      <c r="G958" t="s">
        <v>23</v>
      </c>
      <c r="H958">
        <v>3</v>
      </c>
      <c r="I958" t="s">
        <v>46</v>
      </c>
      <c r="J958">
        <v>19318</v>
      </c>
      <c r="K958" t="s">
        <v>25</v>
      </c>
      <c r="L958" t="s">
        <v>54</v>
      </c>
      <c r="M958" t="s">
        <v>27</v>
      </c>
      <c r="N958" s="2">
        <v>44957</v>
      </c>
      <c r="O958" s="2">
        <v>44957.708333333336</v>
      </c>
      <c r="P958" t="s">
        <v>55</v>
      </c>
      <c r="Q958" t="s">
        <v>29</v>
      </c>
      <c r="R958" t="s">
        <v>30</v>
      </c>
      <c r="S958">
        <v>11</v>
      </c>
      <c r="T958">
        <v>12</v>
      </c>
      <c r="U958" t="s">
        <v>48</v>
      </c>
      <c r="V958" t="str">
        <f t="shared" si="14"/>
        <v>Apr-2023</v>
      </c>
      <c r="W958" s="16">
        <f>Table1[[#This Row],[Consultation Date]] - Table1[[#This Row],[Appointment Date]]</f>
        <v>0.70833333333575865</v>
      </c>
    </row>
    <row r="959" spans="1:23" x14ac:dyDescent="0.3">
      <c r="A959" t="s">
        <v>1016</v>
      </c>
      <c r="B959">
        <v>15</v>
      </c>
      <c r="C959" t="s">
        <v>22</v>
      </c>
      <c r="D959" s="2">
        <v>45536</v>
      </c>
      <c r="E959" s="2">
        <v>45312</v>
      </c>
      <c r="F959">
        <v>12</v>
      </c>
      <c r="G959" t="s">
        <v>40</v>
      </c>
      <c r="H959">
        <v>5</v>
      </c>
      <c r="I959" t="s">
        <v>24</v>
      </c>
      <c r="J959">
        <v>27331</v>
      </c>
      <c r="K959" t="s">
        <v>60</v>
      </c>
      <c r="L959" t="s">
        <v>54</v>
      </c>
      <c r="M959" t="s">
        <v>27</v>
      </c>
      <c r="N959" s="2">
        <v>45505</v>
      </c>
      <c r="O959" s="2">
        <v>45505.333333333336</v>
      </c>
      <c r="P959" t="s">
        <v>64</v>
      </c>
      <c r="Q959" t="s">
        <v>29</v>
      </c>
      <c r="R959" t="s">
        <v>43</v>
      </c>
      <c r="S959">
        <v>6</v>
      </c>
      <c r="T959">
        <v>12</v>
      </c>
      <c r="U959" t="s">
        <v>31</v>
      </c>
      <c r="V959" t="str">
        <f t="shared" si="14"/>
        <v>Sep-2024</v>
      </c>
      <c r="W959" s="16">
        <f>Table1[[#This Row],[Consultation Date]] - Table1[[#This Row],[Appointment Date]]</f>
        <v>0.33333333333575865</v>
      </c>
    </row>
    <row r="960" spans="1:23" x14ac:dyDescent="0.3">
      <c r="A960" t="s">
        <v>1017</v>
      </c>
      <c r="B960">
        <v>24</v>
      </c>
      <c r="C960" t="s">
        <v>45</v>
      </c>
      <c r="D960" s="2">
        <v>45061</v>
      </c>
      <c r="E960" s="2">
        <v>45068</v>
      </c>
      <c r="F960">
        <v>7</v>
      </c>
      <c r="G960" t="s">
        <v>50</v>
      </c>
      <c r="H960">
        <v>2</v>
      </c>
      <c r="I960" t="s">
        <v>35</v>
      </c>
      <c r="J960">
        <v>31355</v>
      </c>
      <c r="K960" t="s">
        <v>67</v>
      </c>
      <c r="L960" t="s">
        <v>54</v>
      </c>
      <c r="M960" t="s">
        <v>41</v>
      </c>
      <c r="N960" s="2">
        <v>45204</v>
      </c>
      <c r="O960" s="2">
        <v>45204.25</v>
      </c>
      <c r="P960" t="s">
        <v>37</v>
      </c>
      <c r="Q960" t="s">
        <v>29</v>
      </c>
      <c r="R960" t="s">
        <v>30</v>
      </c>
      <c r="S960">
        <v>8</v>
      </c>
      <c r="T960">
        <v>10</v>
      </c>
      <c r="U960" t="s">
        <v>68</v>
      </c>
      <c r="V960" t="str">
        <f t="shared" si="14"/>
        <v>May-2023</v>
      </c>
      <c r="W960" s="16">
        <f>Table1[[#This Row],[Consultation Date]] - Table1[[#This Row],[Appointment Date]]</f>
        <v>0.25</v>
      </c>
    </row>
    <row r="961" spans="1:23" x14ac:dyDescent="0.3">
      <c r="A961" t="s">
        <v>1018</v>
      </c>
      <c r="B961">
        <v>38</v>
      </c>
      <c r="C961" t="s">
        <v>41</v>
      </c>
      <c r="D961" s="2">
        <v>44989</v>
      </c>
      <c r="E961" s="2">
        <v>45081</v>
      </c>
      <c r="F961">
        <v>3</v>
      </c>
      <c r="G961" t="s">
        <v>57</v>
      </c>
      <c r="H961">
        <v>4</v>
      </c>
      <c r="I961" t="s">
        <v>66</v>
      </c>
      <c r="J961">
        <v>16324</v>
      </c>
      <c r="K961" t="s">
        <v>60</v>
      </c>
      <c r="L961" t="s">
        <v>26</v>
      </c>
      <c r="M961" t="s">
        <v>27</v>
      </c>
      <c r="N961" s="2">
        <v>44961</v>
      </c>
      <c r="O961" s="2">
        <v>44961.458333333336</v>
      </c>
      <c r="P961" t="s">
        <v>42</v>
      </c>
      <c r="Q961" t="s">
        <v>29</v>
      </c>
      <c r="R961" t="s">
        <v>43</v>
      </c>
      <c r="S961">
        <v>10</v>
      </c>
      <c r="T961">
        <v>10</v>
      </c>
      <c r="U961" t="s">
        <v>31</v>
      </c>
      <c r="V961" t="str">
        <f t="shared" si="14"/>
        <v>Mar-2023</v>
      </c>
      <c r="W961" s="16">
        <f>Table1[[#This Row],[Consultation Date]] - Table1[[#This Row],[Appointment Date]]</f>
        <v>0.45833333333575865</v>
      </c>
    </row>
    <row r="962" spans="1:23" x14ac:dyDescent="0.3">
      <c r="A962" t="s">
        <v>1019</v>
      </c>
      <c r="B962">
        <v>35</v>
      </c>
      <c r="C962" t="s">
        <v>52</v>
      </c>
      <c r="D962" s="2">
        <v>45229</v>
      </c>
      <c r="E962" s="2">
        <v>45241</v>
      </c>
      <c r="F962">
        <v>12</v>
      </c>
      <c r="G962" t="s">
        <v>23</v>
      </c>
      <c r="H962">
        <v>1</v>
      </c>
      <c r="I962" t="s">
        <v>66</v>
      </c>
      <c r="J962">
        <v>33149</v>
      </c>
      <c r="K962" t="s">
        <v>25</v>
      </c>
      <c r="L962" t="s">
        <v>54</v>
      </c>
      <c r="M962" t="s">
        <v>27</v>
      </c>
      <c r="N962" s="2">
        <v>45227</v>
      </c>
      <c r="O962" s="2">
        <v>45228.833333333336</v>
      </c>
      <c r="P962" t="s">
        <v>64</v>
      </c>
      <c r="Q962" t="s">
        <v>29</v>
      </c>
      <c r="R962" t="s">
        <v>47</v>
      </c>
      <c r="S962">
        <v>4</v>
      </c>
      <c r="T962">
        <v>8</v>
      </c>
      <c r="U962" t="s">
        <v>48</v>
      </c>
      <c r="V962" t="str">
        <f t="shared" ref="V962:V1001" si="15">TEXT(D962,"mmm-yyyy")</f>
        <v>Oct-2023</v>
      </c>
      <c r="W962" s="16">
        <f>Table1[[#This Row],[Consultation Date]] - Table1[[#This Row],[Appointment Date]]</f>
        <v>1.8333333333357587</v>
      </c>
    </row>
    <row r="963" spans="1:23" x14ac:dyDescent="0.3">
      <c r="A963" t="s">
        <v>1020</v>
      </c>
      <c r="B963">
        <v>49</v>
      </c>
      <c r="C963" t="s">
        <v>33</v>
      </c>
      <c r="D963" s="2">
        <v>44938</v>
      </c>
      <c r="E963" s="2">
        <v>45181</v>
      </c>
      <c r="F963">
        <v>8</v>
      </c>
      <c r="G963" t="s">
        <v>23</v>
      </c>
      <c r="H963">
        <v>4</v>
      </c>
      <c r="I963" t="s">
        <v>46</v>
      </c>
      <c r="J963">
        <v>8218</v>
      </c>
      <c r="K963" t="s">
        <v>25</v>
      </c>
      <c r="L963" t="s">
        <v>54</v>
      </c>
      <c r="M963" t="s">
        <v>27</v>
      </c>
      <c r="N963" s="2">
        <v>45256</v>
      </c>
      <c r="O963" s="2">
        <v>45256.833333333336</v>
      </c>
      <c r="P963" t="s">
        <v>64</v>
      </c>
      <c r="Q963" t="s">
        <v>38</v>
      </c>
      <c r="R963" t="s">
        <v>47</v>
      </c>
      <c r="S963">
        <v>11</v>
      </c>
      <c r="T963">
        <v>12</v>
      </c>
      <c r="U963" t="s">
        <v>68</v>
      </c>
      <c r="V963" t="str">
        <f t="shared" si="15"/>
        <v>Jan-2023</v>
      </c>
      <c r="W963" s="16">
        <f>Table1[[#This Row],[Consultation Date]] - Table1[[#This Row],[Appointment Date]]</f>
        <v>0.83333333333575865</v>
      </c>
    </row>
    <row r="964" spans="1:23" x14ac:dyDescent="0.3">
      <c r="A964" t="s">
        <v>1021</v>
      </c>
      <c r="B964">
        <v>69</v>
      </c>
      <c r="C964" t="s">
        <v>22</v>
      </c>
      <c r="D964" s="2">
        <v>45294</v>
      </c>
      <c r="E964" s="2">
        <v>45476</v>
      </c>
      <c r="F964">
        <v>6</v>
      </c>
      <c r="G964" t="s">
        <v>40</v>
      </c>
      <c r="H964">
        <v>2</v>
      </c>
      <c r="I964" t="s">
        <v>24</v>
      </c>
      <c r="J964">
        <v>25141</v>
      </c>
      <c r="K964" t="s">
        <v>25</v>
      </c>
      <c r="L964" t="s">
        <v>54</v>
      </c>
      <c r="M964" t="s">
        <v>27</v>
      </c>
      <c r="N964" s="2">
        <v>45294</v>
      </c>
      <c r="O964" s="2">
        <v>45325.916666666664</v>
      </c>
      <c r="P964" t="s">
        <v>28</v>
      </c>
      <c r="Q964" t="s">
        <v>29</v>
      </c>
      <c r="R964" t="s">
        <v>30</v>
      </c>
      <c r="S964">
        <v>6</v>
      </c>
      <c r="T964">
        <v>8</v>
      </c>
      <c r="U964" t="s">
        <v>48</v>
      </c>
      <c r="V964" t="str">
        <f t="shared" si="15"/>
        <v>Jan-2024</v>
      </c>
      <c r="W964" s="16">
        <f>Table1[[#This Row],[Consultation Date]] - Table1[[#This Row],[Appointment Date]]</f>
        <v>31.916666666664241</v>
      </c>
    </row>
    <row r="965" spans="1:23" x14ac:dyDescent="0.3">
      <c r="A965" t="s">
        <v>1022</v>
      </c>
      <c r="B965">
        <v>62</v>
      </c>
      <c r="C965" t="s">
        <v>33</v>
      </c>
      <c r="D965" s="2">
        <v>45106</v>
      </c>
      <c r="E965" s="2">
        <v>45114</v>
      </c>
      <c r="F965">
        <v>8</v>
      </c>
      <c r="G965" t="s">
        <v>63</v>
      </c>
      <c r="H965">
        <v>2</v>
      </c>
      <c r="I965" t="s">
        <v>24</v>
      </c>
      <c r="J965">
        <v>41784</v>
      </c>
      <c r="K965" t="s">
        <v>53</v>
      </c>
      <c r="L965" t="s">
        <v>26</v>
      </c>
      <c r="M965" t="s">
        <v>41</v>
      </c>
      <c r="N965" s="2">
        <v>45101</v>
      </c>
      <c r="O965" s="2">
        <v>45102.875</v>
      </c>
      <c r="P965" t="s">
        <v>42</v>
      </c>
      <c r="Q965" t="s">
        <v>29</v>
      </c>
      <c r="R965" t="s">
        <v>47</v>
      </c>
      <c r="S965">
        <v>10</v>
      </c>
      <c r="T965">
        <v>10</v>
      </c>
      <c r="U965" t="s">
        <v>68</v>
      </c>
      <c r="V965" t="str">
        <f t="shared" si="15"/>
        <v>Jun-2023</v>
      </c>
      <c r="W965" s="16">
        <f>Table1[[#This Row],[Consultation Date]] - Table1[[#This Row],[Appointment Date]]</f>
        <v>1.875</v>
      </c>
    </row>
    <row r="966" spans="1:23" x14ac:dyDescent="0.3">
      <c r="A966" t="s">
        <v>1023</v>
      </c>
      <c r="B966">
        <v>60</v>
      </c>
      <c r="C966" t="s">
        <v>22</v>
      </c>
      <c r="D966" s="2">
        <v>45132</v>
      </c>
      <c r="E966" s="2">
        <v>45133</v>
      </c>
      <c r="F966">
        <v>1</v>
      </c>
      <c r="G966" t="s">
        <v>40</v>
      </c>
      <c r="H966">
        <v>5</v>
      </c>
      <c r="I966" t="s">
        <v>46</v>
      </c>
      <c r="J966">
        <v>7837</v>
      </c>
      <c r="K966" t="s">
        <v>67</v>
      </c>
      <c r="L966" t="s">
        <v>54</v>
      </c>
      <c r="M966" t="s">
        <v>41</v>
      </c>
      <c r="N966" s="2">
        <v>45127</v>
      </c>
      <c r="O966" s="2">
        <v>45128.625</v>
      </c>
      <c r="P966" t="s">
        <v>55</v>
      </c>
      <c r="Q966" t="s">
        <v>29</v>
      </c>
      <c r="R966" t="s">
        <v>43</v>
      </c>
      <c r="S966">
        <v>8</v>
      </c>
      <c r="T966">
        <v>8</v>
      </c>
      <c r="U966" t="s">
        <v>48</v>
      </c>
      <c r="V966" t="str">
        <f t="shared" si="15"/>
        <v>Jul-2023</v>
      </c>
      <c r="W966" s="16">
        <f>Table1[[#This Row],[Consultation Date]] - Table1[[#This Row],[Appointment Date]]</f>
        <v>1.625</v>
      </c>
    </row>
    <row r="967" spans="1:23" x14ac:dyDescent="0.3">
      <c r="A967" t="s">
        <v>1024</v>
      </c>
      <c r="B967">
        <v>50</v>
      </c>
      <c r="C967" t="s">
        <v>33</v>
      </c>
      <c r="D967" s="2">
        <v>45062</v>
      </c>
      <c r="E967" s="2">
        <v>45074</v>
      </c>
      <c r="F967">
        <v>12</v>
      </c>
      <c r="G967" t="s">
        <v>50</v>
      </c>
      <c r="H967">
        <v>3</v>
      </c>
      <c r="I967" t="s">
        <v>24</v>
      </c>
      <c r="J967">
        <v>44802</v>
      </c>
      <c r="K967" t="s">
        <v>60</v>
      </c>
      <c r="L967" t="s">
        <v>26</v>
      </c>
      <c r="M967" t="s">
        <v>27</v>
      </c>
      <c r="N967" s="2">
        <v>45062</v>
      </c>
      <c r="O967" s="2">
        <v>45062.125</v>
      </c>
      <c r="P967" t="s">
        <v>64</v>
      </c>
      <c r="Q967" t="s">
        <v>29</v>
      </c>
      <c r="R967" t="s">
        <v>30</v>
      </c>
      <c r="S967">
        <v>5</v>
      </c>
      <c r="T967">
        <v>10</v>
      </c>
      <c r="U967" t="s">
        <v>68</v>
      </c>
      <c r="V967" t="str">
        <f t="shared" si="15"/>
        <v>May-2023</v>
      </c>
      <c r="W967" s="16">
        <f>Table1[[#This Row],[Consultation Date]] - Table1[[#This Row],[Appointment Date]]</f>
        <v>0.125</v>
      </c>
    </row>
    <row r="968" spans="1:23" x14ac:dyDescent="0.3">
      <c r="A968" t="s">
        <v>1025</v>
      </c>
      <c r="B968">
        <v>78</v>
      </c>
      <c r="C968" t="s">
        <v>62</v>
      </c>
      <c r="D968" s="2">
        <v>45566</v>
      </c>
      <c r="E968" s="2">
        <v>45315</v>
      </c>
      <c r="F968">
        <v>14</v>
      </c>
      <c r="G968" t="s">
        <v>34</v>
      </c>
      <c r="H968">
        <v>3</v>
      </c>
      <c r="I968" t="s">
        <v>71</v>
      </c>
      <c r="J968">
        <v>45077</v>
      </c>
      <c r="K968" t="s">
        <v>60</v>
      </c>
      <c r="L968" t="s">
        <v>26</v>
      </c>
      <c r="M968" t="s">
        <v>41</v>
      </c>
      <c r="N968" s="2">
        <v>45566</v>
      </c>
      <c r="O968" s="2">
        <v>45566.583333333336</v>
      </c>
      <c r="P968" t="s">
        <v>64</v>
      </c>
      <c r="Q968" t="s">
        <v>29</v>
      </c>
      <c r="R968" t="s">
        <v>47</v>
      </c>
      <c r="S968">
        <v>8</v>
      </c>
      <c r="T968">
        <v>12</v>
      </c>
      <c r="U968" t="s">
        <v>31</v>
      </c>
      <c r="V968" t="str">
        <f t="shared" si="15"/>
        <v>Oct-2024</v>
      </c>
      <c r="W968" s="16">
        <f>Table1[[#This Row],[Consultation Date]] - Table1[[#This Row],[Appointment Date]]</f>
        <v>0.58333333333575865</v>
      </c>
    </row>
    <row r="969" spans="1:23" x14ac:dyDescent="0.3">
      <c r="A969" t="s">
        <v>1026</v>
      </c>
      <c r="B969">
        <v>75</v>
      </c>
      <c r="C969" t="s">
        <v>22</v>
      </c>
      <c r="D969" s="2">
        <v>45440</v>
      </c>
      <c r="E969" s="2">
        <v>45632</v>
      </c>
      <c r="F969">
        <v>15</v>
      </c>
      <c r="G969" t="s">
        <v>34</v>
      </c>
      <c r="H969">
        <v>2</v>
      </c>
      <c r="I969" t="s">
        <v>35</v>
      </c>
      <c r="J969">
        <v>19379</v>
      </c>
      <c r="K969" t="s">
        <v>36</v>
      </c>
      <c r="L969" t="s">
        <v>26</v>
      </c>
      <c r="M969" t="s">
        <v>41</v>
      </c>
      <c r="N969" s="2">
        <v>45437</v>
      </c>
      <c r="O969" s="2">
        <v>45437.875</v>
      </c>
      <c r="P969" t="s">
        <v>37</v>
      </c>
      <c r="Q969" t="s">
        <v>29</v>
      </c>
      <c r="R969" t="s">
        <v>47</v>
      </c>
      <c r="S969">
        <v>5</v>
      </c>
      <c r="T969">
        <v>12</v>
      </c>
      <c r="U969" t="s">
        <v>68</v>
      </c>
      <c r="V969" t="str">
        <f t="shared" si="15"/>
        <v>May-2024</v>
      </c>
      <c r="W969" s="16">
        <f>Table1[[#This Row],[Consultation Date]] - Table1[[#This Row],[Appointment Date]]</f>
        <v>0.875</v>
      </c>
    </row>
    <row r="970" spans="1:23" x14ac:dyDescent="0.3">
      <c r="A970" t="s">
        <v>1027</v>
      </c>
      <c r="B970">
        <v>9</v>
      </c>
      <c r="C970" t="s">
        <v>33</v>
      </c>
      <c r="D970" s="2">
        <v>45117</v>
      </c>
      <c r="E970" s="2">
        <v>45212</v>
      </c>
      <c r="F970">
        <v>6</v>
      </c>
      <c r="G970" t="s">
        <v>63</v>
      </c>
      <c r="H970">
        <v>5</v>
      </c>
      <c r="I970" t="s">
        <v>66</v>
      </c>
      <c r="J970">
        <v>9239</v>
      </c>
      <c r="K970" t="s">
        <v>25</v>
      </c>
      <c r="L970" t="s">
        <v>26</v>
      </c>
      <c r="M970" t="s">
        <v>41</v>
      </c>
      <c r="N970" s="2">
        <v>45026</v>
      </c>
      <c r="O970" s="2">
        <v>45026.416666666664</v>
      </c>
      <c r="P970" t="s">
        <v>28</v>
      </c>
      <c r="Q970" t="s">
        <v>29</v>
      </c>
      <c r="R970" t="s">
        <v>30</v>
      </c>
      <c r="S970">
        <v>11</v>
      </c>
      <c r="T970">
        <v>10</v>
      </c>
      <c r="U970" t="s">
        <v>31</v>
      </c>
      <c r="V970" t="str">
        <f t="shared" si="15"/>
        <v>Jul-2023</v>
      </c>
      <c r="W970" s="16">
        <f>Table1[[#This Row],[Consultation Date]] - Table1[[#This Row],[Appointment Date]]</f>
        <v>0.41666666666424135</v>
      </c>
    </row>
    <row r="971" spans="1:23" x14ac:dyDescent="0.3">
      <c r="A971" t="s">
        <v>1028</v>
      </c>
      <c r="B971">
        <v>34</v>
      </c>
      <c r="C971" t="s">
        <v>52</v>
      </c>
      <c r="D971" s="2">
        <v>45095</v>
      </c>
      <c r="E971" s="2">
        <v>45105</v>
      </c>
      <c r="F971">
        <v>10</v>
      </c>
      <c r="G971" t="s">
        <v>23</v>
      </c>
      <c r="H971">
        <v>5</v>
      </c>
      <c r="I971" t="s">
        <v>35</v>
      </c>
      <c r="J971">
        <v>49896</v>
      </c>
      <c r="K971" t="s">
        <v>25</v>
      </c>
      <c r="L971" t="s">
        <v>54</v>
      </c>
      <c r="M971" t="s">
        <v>41</v>
      </c>
      <c r="N971" s="2">
        <v>45092</v>
      </c>
      <c r="O971" s="2">
        <v>45092.25</v>
      </c>
      <c r="P971" t="s">
        <v>64</v>
      </c>
      <c r="Q971" t="s">
        <v>29</v>
      </c>
      <c r="R971" t="s">
        <v>47</v>
      </c>
      <c r="S971">
        <v>10</v>
      </c>
      <c r="T971">
        <v>12</v>
      </c>
      <c r="U971" t="s">
        <v>68</v>
      </c>
      <c r="V971" t="str">
        <f t="shared" si="15"/>
        <v>Jun-2023</v>
      </c>
      <c r="W971" s="16">
        <f>Table1[[#This Row],[Consultation Date]] - Table1[[#This Row],[Appointment Date]]</f>
        <v>0.25</v>
      </c>
    </row>
    <row r="972" spans="1:23" x14ac:dyDescent="0.3">
      <c r="A972" t="s">
        <v>1029</v>
      </c>
      <c r="B972">
        <v>76</v>
      </c>
      <c r="C972" t="s">
        <v>62</v>
      </c>
      <c r="D972" s="2">
        <v>45190</v>
      </c>
      <c r="E972" s="2">
        <v>45197</v>
      </c>
      <c r="F972">
        <v>7</v>
      </c>
      <c r="G972" t="s">
        <v>63</v>
      </c>
      <c r="H972">
        <v>1</v>
      </c>
      <c r="I972" t="s">
        <v>66</v>
      </c>
      <c r="J972">
        <v>25812</v>
      </c>
      <c r="K972" t="s">
        <v>25</v>
      </c>
      <c r="L972" t="s">
        <v>26</v>
      </c>
      <c r="M972" t="s">
        <v>27</v>
      </c>
      <c r="N972" s="2">
        <v>45186</v>
      </c>
      <c r="O972" s="2">
        <v>45187.916666666664</v>
      </c>
      <c r="P972" t="s">
        <v>64</v>
      </c>
      <c r="Q972" t="s">
        <v>38</v>
      </c>
      <c r="R972" t="s">
        <v>47</v>
      </c>
      <c r="S972">
        <v>10</v>
      </c>
      <c r="T972">
        <v>10</v>
      </c>
      <c r="U972" t="s">
        <v>68</v>
      </c>
      <c r="V972" t="str">
        <f t="shared" si="15"/>
        <v>Sep-2023</v>
      </c>
      <c r="W972" s="16">
        <f>Table1[[#This Row],[Consultation Date]] - Table1[[#This Row],[Appointment Date]]</f>
        <v>1.9166666666642413</v>
      </c>
    </row>
    <row r="973" spans="1:23" x14ac:dyDescent="0.3">
      <c r="A973" t="s">
        <v>1030</v>
      </c>
      <c r="B973">
        <v>35</v>
      </c>
      <c r="C973" t="s">
        <v>62</v>
      </c>
      <c r="D973" s="2">
        <v>45509</v>
      </c>
      <c r="E973" s="2">
        <v>45425</v>
      </c>
      <c r="F973">
        <v>5</v>
      </c>
      <c r="G973" t="s">
        <v>23</v>
      </c>
      <c r="H973">
        <v>3</v>
      </c>
      <c r="I973" t="s">
        <v>71</v>
      </c>
      <c r="J973">
        <v>34669</v>
      </c>
      <c r="K973" t="s">
        <v>60</v>
      </c>
      <c r="L973" t="s">
        <v>54</v>
      </c>
      <c r="M973" t="s">
        <v>41</v>
      </c>
      <c r="N973" s="2">
        <v>45417</v>
      </c>
      <c r="O973" s="2">
        <v>45417.666666666664</v>
      </c>
      <c r="P973" t="s">
        <v>55</v>
      </c>
      <c r="Q973" t="s">
        <v>29</v>
      </c>
      <c r="R973" t="s">
        <v>30</v>
      </c>
      <c r="S973">
        <v>4</v>
      </c>
      <c r="T973">
        <v>8</v>
      </c>
      <c r="U973" t="s">
        <v>48</v>
      </c>
      <c r="V973" t="str">
        <f t="shared" si="15"/>
        <v>Aug-2024</v>
      </c>
      <c r="W973" s="16">
        <f>Table1[[#This Row],[Consultation Date]] - Table1[[#This Row],[Appointment Date]]</f>
        <v>0.66666666666424135</v>
      </c>
    </row>
    <row r="974" spans="1:23" x14ac:dyDescent="0.3">
      <c r="A974" t="s">
        <v>1031</v>
      </c>
      <c r="B974">
        <v>1</v>
      </c>
      <c r="C974" t="s">
        <v>52</v>
      </c>
      <c r="D974" s="2">
        <v>45229</v>
      </c>
      <c r="E974" s="2">
        <v>45210</v>
      </c>
      <c r="F974">
        <v>11</v>
      </c>
      <c r="G974" t="s">
        <v>23</v>
      </c>
      <c r="H974">
        <v>2</v>
      </c>
      <c r="I974" t="s">
        <v>24</v>
      </c>
      <c r="J974">
        <v>14611</v>
      </c>
      <c r="K974" t="s">
        <v>36</v>
      </c>
      <c r="L974" t="s">
        <v>26</v>
      </c>
      <c r="M974" t="s">
        <v>27</v>
      </c>
      <c r="N974" s="2">
        <v>45229</v>
      </c>
      <c r="O974" s="2">
        <v>45229.958333333336</v>
      </c>
      <c r="P974" t="s">
        <v>55</v>
      </c>
      <c r="Q974" t="s">
        <v>29</v>
      </c>
      <c r="R974" t="s">
        <v>47</v>
      </c>
      <c r="S974">
        <v>8</v>
      </c>
      <c r="T974">
        <v>10</v>
      </c>
      <c r="U974" t="s">
        <v>48</v>
      </c>
      <c r="V974" t="str">
        <f t="shared" si="15"/>
        <v>Oct-2023</v>
      </c>
      <c r="W974" s="16">
        <f>Table1[[#This Row],[Consultation Date]] - Table1[[#This Row],[Appointment Date]]</f>
        <v>0.95833333333575865</v>
      </c>
    </row>
    <row r="975" spans="1:23" x14ac:dyDescent="0.3">
      <c r="A975" t="s">
        <v>1032</v>
      </c>
      <c r="B975">
        <v>40</v>
      </c>
      <c r="C975" t="s">
        <v>33</v>
      </c>
      <c r="D975" s="2">
        <v>45273</v>
      </c>
      <c r="E975" s="2">
        <v>45286</v>
      </c>
      <c r="F975">
        <v>13</v>
      </c>
      <c r="G975" t="s">
        <v>34</v>
      </c>
      <c r="H975">
        <v>4</v>
      </c>
      <c r="I975" t="s">
        <v>46</v>
      </c>
      <c r="J975">
        <v>9150</v>
      </c>
      <c r="K975" t="s">
        <v>53</v>
      </c>
      <c r="L975" t="s">
        <v>26</v>
      </c>
      <c r="M975" t="s">
        <v>27</v>
      </c>
      <c r="N975" s="2">
        <v>45150</v>
      </c>
      <c r="O975" s="2">
        <v>45181.083333333336</v>
      </c>
      <c r="P975" t="s">
        <v>37</v>
      </c>
      <c r="Q975" t="s">
        <v>29</v>
      </c>
      <c r="R975" t="s">
        <v>47</v>
      </c>
      <c r="S975">
        <v>7</v>
      </c>
      <c r="T975">
        <v>8</v>
      </c>
      <c r="U975" t="s">
        <v>48</v>
      </c>
      <c r="V975" t="str">
        <f t="shared" si="15"/>
        <v>Dec-2023</v>
      </c>
      <c r="W975" s="16">
        <f>Table1[[#This Row],[Consultation Date]] - Table1[[#This Row],[Appointment Date]]</f>
        <v>31.083333333335759</v>
      </c>
    </row>
    <row r="976" spans="1:23" x14ac:dyDescent="0.3">
      <c r="A976" t="s">
        <v>1033</v>
      </c>
      <c r="B976">
        <v>64</v>
      </c>
      <c r="C976" t="s">
        <v>45</v>
      </c>
      <c r="D976" s="2">
        <v>45044</v>
      </c>
      <c r="E976" s="2">
        <v>45045</v>
      </c>
      <c r="F976">
        <v>1</v>
      </c>
      <c r="G976" t="s">
        <v>63</v>
      </c>
      <c r="H976">
        <v>3</v>
      </c>
      <c r="I976" t="s">
        <v>71</v>
      </c>
      <c r="J976">
        <v>16109</v>
      </c>
      <c r="K976" t="s">
        <v>67</v>
      </c>
      <c r="L976" t="s">
        <v>26</v>
      </c>
      <c r="M976" t="s">
        <v>27</v>
      </c>
      <c r="N976" s="2">
        <v>45044</v>
      </c>
      <c r="O976" s="2">
        <v>45045.375</v>
      </c>
      <c r="P976" t="s">
        <v>37</v>
      </c>
      <c r="Q976" t="s">
        <v>29</v>
      </c>
      <c r="R976" t="s">
        <v>47</v>
      </c>
      <c r="S976">
        <v>11</v>
      </c>
      <c r="T976">
        <v>10</v>
      </c>
      <c r="U976" t="s">
        <v>68</v>
      </c>
      <c r="V976" t="str">
        <f t="shared" si="15"/>
        <v>Apr-2023</v>
      </c>
      <c r="W976" s="16">
        <f>Table1[[#This Row],[Consultation Date]] - Table1[[#This Row],[Appointment Date]]</f>
        <v>1.375</v>
      </c>
    </row>
    <row r="977" spans="1:23" x14ac:dyDescent="0.3">
      <c r="A977" t="s">
        <v>1034</v>
      </c>
      <c r="B977">
        <v>22</v>
      </c>
      <c r="C977" t="s">
        <v>52</v>
      </c>
      <c r="D977" s="2">
        <v>45406</v>
      </c>
      <c r="E977" s="2">
        <v>45408</v>
      </c>
      <c r="F977">
        <v>2</v>
      </c>
      <c r="G977" t="s">
        <v>40</v>
      </c>
      <c r="H977">
        <v>1</v>
      </c>
      <c r="I977" t="s">
        <v>35</v>
      </c>
      <c r="J977">
        <v>39214</v>
      </c>
      <c r="K977" t="s">
        <v>53</v>
      </c>
      <c r="L977" t="s">
        <v>54</v>
      </c>
      <c r="M977" t="s">
        <v>41</v>
      </c>
      <c r="N977" s="2">
        <v>45401</v>
      </c>
      <c r="O977" s="2">
        <v>45401.166666666664</v>
      </c>
      <c r="P977" t="s">
        <v>37</v>
      </c>
      <c r="Q977" t="s">
        <v>29</v>
      </c>
      <c r="R977" t="s">
        <v>47</v>
      </c>
      <c r="S977">
        <v>9</v>
      </c>
      <c r="T977">
        <v>12</v>
      </c>
      <c r="U977" t="s">
        <v>68</v>
      </c>
      <c r="V977" t="str">
        <f t="shared" si="15"/>
        <v>Apr-2024</v>
      </c>
      <c r="W977" s="16">
        <f>Table1[[#This Row],[Consultation Date]] - Table1[[#This Row],[Appointment Date]]</f>
        <v>0.16666666666424135</v>
      </c>
    </row>
    <row r="978" spans="1:23" x14ac:dyDescent="0.3">
      <c r="A978" t="s">
        <v>1035</v>
      </c>
      <c r="B978">
        <v>60</v>
      </c>
      <c r="C978" t="s">
        <v>33</v>
      </c>
      <c r="D978" s="2">
        <v>45004</v>
      </c>
      <c r="E978" s="2">
        <v>45015</v>
      </c>
      <c r="F978">
        <v>11</v>
      </c>
      <c r="G978" t="s">
        <v>23</v>
      </c>
      <c r="H978">
        <v>5</v>
      </c>
      <c r="I978" t="s">
        <v>46</v>
      </c>
      <c r="J978">
        <v>31016</v>
      </c>
      <c r="K978" t="s">
        <v>60</v>
      </c>
      <c r="L978" t="s">
        <v>54</v>
      </c>
      <c r="M978" t="s">
        <v>27</v>
      </c>
      <c r="N978" s="2">
        <v>45003</v>
      </c>
      <c r="O978" s="2">
        <v>45004.833333333336</v>
      </c>
      <c r="P978" t="s">
        <v>55</v>
      </c>
      <c r="Q978" t="s">
        <v>29</v>
      </c>
      <c r="R978" t="s">
        <v>30</v>
      </c>
      <c r="S978">
        <v>7</v>
      </c>
      <c r="T978">
        <v>10</v>
      </c>
      <c r="U978" t="s">
        <v>68</v>
      </c>
      <c r="V978" t="str">
        <f t="shared" si="15"/>
        <v>Mar-2023</v>
      </c>
      <c r="W978" s="16">
        <f>Table1[[#This Row],[Consultation Date]] - Table1[[#This Row],[Appointment Date]]</f>
        <v>1.8333333333357587</v>
      </c>
    </row>
    <row r="979" spans="1:23" x14ac:dyDescent="0.3">
      <c r="A979" t="s">
        <v>1036</v>
      </c>
      <c r="B979">
        <v>64</v>
      </c>
      <c r="C979" t="s">
        <v>52</v>
      </c>
      <c r="D979" s="2">
        <v>45071</v>
      </c>
      <c r="E979" s="2">
        <v>45052</v>
      </c>
      <c r="F979">
        <v>11</v>
      </c>
      <c r="G979" t="s">
        <v>57</v>
      </c>
      <c r="H979">
        <v>2</v>
      </c>
      <c r="I979" t="s">
        <v>24</v>
      </c>
      <c r="J979">
        <v>16936</v>
      </c>
      <c r="K979" t="s">
        <v>25</v>
      </c>
      <c r="L979" t="s">
        <v>26</v>
      </c>
      <c r="M979" t="s">
        <v>41</v>
      </c>
      <c r="N979" s="2">
        <v>45071</v>
      </c>
      <c r="O979" s="2">
        <v>45071.833333333336</v>
      </c>
      <c r="P979" t="s">
        <v>55</v>
      </c>
      <c r="Q979" t="s">
        <v>29</v>
      </c>
      <c r="R979" t="s">
        <v>43</v>
      </c>
      <c r="S979">
        <v>11</v>
      </c>
      <c r="T979">
        <v>10</v>
      </c>
      <c r="U979" t="s">
        <v>31</v>
      </c>
      <c r="V979" t="str">
        <f t="shared" si="15"/>
        <v>May-2023</v>
      </c>
      <c r="W979" s="16">
        <f>Table1[[#This Row],[Consultation Date]] - Table1[[#This Row],[Appointment Date]]</f>
        <v>0.83333333333575865</v>
      </c>
    </row>
    <row r="980" spans="1:23" x14ac:dyDescent="0.3">
      <c r="A980" t="s">
        <v>1037</v>
      </c>
      <c r="B980">
        <v>72</v>
      </c>
      <c r="C980" t="s">
        <v>52</v>
      </c>
      <c r="D980" s="2">
        <v>45158</v>
      </c>
      <c r="E980" s="2">
        <v>45165</v>
      </c>
      <c r="F980">
        <v>7</v>
      </c>
      <c r="G980" t="s">
        <v>57</v>
      </c>
      <c r="H980">
        <v>3</v>
      </c>
      <c r="I980" t="s">
        <v>71</v>
      </c>
      <c r="J980">
        <v>16036</v>
      </c>
      <c r="K980" t="s">
        <v>67</v>
      </c>
      <c r="L980" t="s">
        <v>54</v>
      </c>
      <c r="M980" t="s">
        <v>27</v>
      </c>
      <c r="N980" s="2">
        <v>45155</v>
      </c>
      <c r="O980" s="2">
        <v>45155.708333333336</v>
      </c>
      <c r="P980" t="s">
        <v>28</v>
      </c>
      <c r="Q980" t="s">
        <v>29</v>
      </c>
      <c r="R980" t="s">
        <v>43</v>
      </c>
      <c r="S980">
        <v>7</v>
      </c>
      <c r="T980">
        <v>10</v>
      </c>
      <c r="U980" t="s">
        <v>31</v>
      </c>
      <c r="V980" t="str">
        <f t="shared" si="15"/>
        <v>Aug-2023</v>
      </c>
      <c r="W980" s="16">
        <f>Table1[[#This Row],[Consultation Date]] - Table1[[#This Row],[Appointment Date]]</f>
        <v>0.70833333333575865</v>
      </c>
    </row>
    <row r="981" spans="1:23" x14ac:dyDescent="0.3">
      <c r="A981" t="s">
        <v>1038</v>
      </c>
      <c r="B981">
        <v>11</v>
      </c>
      <c r="C981" t="s">
        <v>22</v>
      </c>
      <c r="D981" s="2">
        <v>45598</v>
      </c>
      <c r="E981" s="2">
        <v>45339</v>
      </c>
      <c r="F981">
        <v>6</v>
      </c>
      <c r="G981" t="s">
        <v>40</v>
      </c>
      <c r="H981">
        <v>4</v>
      </c>
      <c r="I981" t="s">
        <v>46</v>
      </c>
      <c r="J981">
        <v>44236</v>
      </c>
      <c r="K981" t="s">
        <v>60</v>
      </c>
      <c r="L981" t="s">
        <v>54</v>
      </c>
      <c r="M981" t="s">
        <v>27</v>
      </c>
      <c r="N981" s="2">
        <v>45506</v>
      </c>
      <c r="O981" s="2">
        <v>45506.5</v>
      </c>
      <c r="P981" t="s">
        <v>42</v>
      </c>
      <c r="Q981" t="s">
        <v>38</v>
      </c>
      <c r="R981" t="s">
        <v>47</v>
      </c>
      <c r="S981">
        <v>7</v>
      </c>
      <c r="T981">
        <v>12</v>
      </c>
      <c r="U981" t="s">
        <v>68</v>
      </c>
      <c r="V981" t="str">
        <f t="shared" si="15"/>
        <v>Nov-2024</v>
      </c>
      <c r="W981" s="16">
        <f>Table1[[#This Row],[Consultation Date]] - Table1[[#This Row],[Appointment Date]]</f>
        <v>0.5</v>
      </c>
    </row>
    <row r="982" spans="1:23" x14ac:dyDescent="0.3">
      <c r="A982" t="s">
        <v>1039</v>
      </c>
      <c r="B982">
        <v>14</v>
      </c>
      <c r="C982" t="s">
        <v>33</v>
      </c>
      <c r="D982" s="2">
        <v>45566</v>
      </c>
      <c r="E982" s="2">
        <v>45310</v>
      </c>
      <c r="F982">
        <v>9</v>
      </c>
      <c r="G982" t="s">
        <v>57</v>
      </c>
      <c r="H982">
        <v>1</v>
      </c>
      <c r="I982" t="s">
        <v>71</v>
      </c>
      <c r="J982">
        <v>19021</v>
      </c>
      <c r="K982" t="s">
        <v>60</v>
      </c>
      <c r="L982" t="s">
        <v>54</v>
      </c>
      <c r="M982" t="s">
        <v>27</v>
      </c>
      <c r="N982" s="2">
        <v>45413</v>
      </c>
      <c r="O982" s="2">
        <v>45413.083333333336</v>
      </c>
      <c r="P982" t="s">
        <v>42</v>
      </c>
      <c r="Q982" t="s">
        <v>29</v>
      </c>
      <c r="R982" t="s">
        <v>47</v>
      </c>
      <c r="S982">
        <v>9</v>
      </c>
      <c r="T982">
        <v>10</v>
      </c>
      <c r="U982" t="s">
        <v>48</v>
      </c>
      <c r="V982" t="str">
        <f t="shared" si="15"/>
        <v>Oct-2024</v>
      </c>
      <c r="W982" s="16">
        <f>Table1[[#This Row],[Consultation Date]] - Table1[[#This Row],[Appointment Date]]</f>
        <v>8.3333333335758653E-2</v>
      </c>
    </row>
    <row r="983" spans="1:23" x14ac:dyDescent="0.3">
      <c r="A983" t="s">
        <v>1040</v>
      </c>
      <c r="B983">
        <v>60</v>
      </c>
      <c r="C983" t="s">
        <v>45</v>
      </c>
      <c r="D983" s="2">
        <v>44989</v>
      </c>
      <c r="E983" s="2">
        <v>45032</v>
      </c>
      <c r="F983">
        <v>13</v>
      </c>
      <c r="G983" t="s">
        <v>50</v>
      </c>
      <c r="H983">
        <v>1</v>
      </c>
      <c r="I983" t="s">
        <v>71</v>
      </c>
      <c r="J983">
        <v>41943</v>
      </c>
      <c r="K983" t="s">
        <v>60</v>
      </c>
      <c r="L983" t="s">
        <v>26</v>
      </c>
      <c r="M983" t="s">
        <v>27</v>
      </c>
      <c r="N983" s="2">
        <v>44930</v>
      </c>
      <c r="O983" s="2">
        <v>44961.083333333336</v>
      </c>
      <c r="P983" t="s">
        <v>28</v>
      </c>
      <c r="Q983" t="s">
        <v>38</v>
      </c>
      <c r="R983" t="s">
        <v>43</v>
      </c>
      <c r="S983">
        <v>7</v>
      </c>
      <c r="T983">
        <v>12</v>
      </c>
      <c r="U983" t="s">
        <v>48</v>
      </c>
      <c r="V983" t="str">
        <f t="shared" si="15"/>
        <v>Mar-2023</v>
      </c>
      <c r="W983" s="16">
        <f>Table1[[#This Row],[Consultation Date]] - Table1[[#This Row],[Appointment Date]]</f>
        <v>31.083333333335759</v>
      </c>
    </row>
    <row r="984" spans="1:23" x14ac:dyDescent="0.3">
      <c r="A984" t="s">
        <v>1041</v>
      </c>
      <c r="B984">
        <v>30</v>
      </c>
      <c r="C984" t="s">
        <v>22</v>
      </c>
      <c r="D984" s="2">
        <v>45537</v>
      </c>
      <c r="E984" s="2">
        <v>45343</v>
      </c>
      <c r="F984">
        <v>12</v>
      </c>
      <c r="G984" t="s">
        <v>23</v>
      </c>
      <c r="H984">
        <v>3</v>
      </c>
      <c r="I984" t="s">
        <v>24</v>
      </c>
      <c r="J984">
        <v>42848</v>
      </c>
      <c r="K984" t="s">
        <v>67</v>
      </c>
      <c r="L984" t="s">
        <v>54</v>
      </c>
      <c r="M984" t="s">
        <v>27</v>
      </c>
      <c r="N984" s="2">
        <v>45414</v>
      </c>
      <c r="O984" s="2">
        <v>45445.208333333336</v>
      </c>
      <c r="P984" t="s">
        <v>42</v>
      </c>
      <c r="Q984" t="s">
        <v>29</v>
      </c>
      <c r="R984" t="s">
        <v>47</v>
      </c>
      <c r="S984">
        <v>5</v>
      </c>
      <c r="T984">
        <v>10</v>
      </c>
      <c r="U984" t="s">
        <v>48</v>
      </c>
      <c r="V984" t="str">
        <f t="shared" si="15"/>
        <v>Sep-2024</v>
      </c>
      <c r="W984" s="16">
        <f>Table1[[#This Row],[Consultation Date]] - Table1[[#This Row],[Appointment Date]]</f>
        <v>31.208333333335759</v>
      </c>
    </row>
    <row r="985" spans="1:23" x14ac:dyDescent="0.3">
      <c r="A985" t="s">
        <v>1042</v>
      </c>
      <c r="B985">
        <v>35</v>
      </c>
      <c r="C985" t="s">
        <v>52</v>
      </c>
      <c r="D985" s="2">
        <v>44941</v>
      </c>
      <c r="E985" s="2">
        <v>44952</v>
      </c>
      <c r="F985">
        <v>11</v>
      </c>
      <c r="G985" t="s">
        <v>40</v>
      </c>
      <c r="H985">
        <v>4</v>
      </c>
      <c r="I985" t="s">
        <v>66</v>
      </c>
      <c r="J985">
        <v>20471</v>
      </c>
      <c r="K985" t="s">
        <v>67</v>
      </c>
      <c r="L985" t="s">
        <v>54</v>
      </c>
      <c r="M985" t="s">
        <v>27</v>
      </c>
      <c r="N985" s="2">
        <v>44941</v>
      </c>
      <c r="O985" s="2">
        <v>44942.5</v>
      </c>
      <c r="P985" t="s">
        <v>55</v>
      </c>
      <c r="Q985" t="s">
        <v>29</v>
      </c>
      <c r="R985" t="s">
        <v>43</v>
      </c>
      <c r="S985">
        <v>8</v>
      </c>
      <c r="T985">
        <v>8</v>
      </c>
      <c r="U985" t="s">
        <v>68</v>
      </c>
      <c r="V985" t="str">
        <f t="shared" si="15"/>
        <v>Jan-2023</v>
      </c>
      <c r="W985" s="16">
        <f>Table1[[#This Row],[Consultation Date]] - Table1[[#This Row],[Appointment Date]]</f>
        <v>1.5</v>
      </c>
    </row>
    <row r="986" spans="1:23" x14ac:dyDescent="0.3">
      <c r="A986" t="s">
        <v>1043</v>
      </c>
      <c r="B986">
        <v>85</v>
      </c>
      <c r="C986" t="s">
        <v>41</v>
      </c>
      <c r="D986" s="2">
        <v>45197</v>
      </c>
      <c r="E986" s="2">
        <v>44936</v>
      </c>
      <c r="F986">
        <v>3</v>
      </c>
      <c r="G986" t="s">
        <v>63</v>
      </c>
      <c r="H986">
        <v>1</v>
      </c>
      <c r="I986" t="s">
        <v>46</v>
      </c>
      <c r="J986">
        <v>28244</v>
      </c>
      <c r="K986" t="s">
        <v>36</v>
      </c>
      <c r="L986" t="s">
        <v>54</v>
      </c>
      <c r="M986" t="s">
        <v>27</v>
      </c>
      <c r="N986" s="2">
        <v>45193</v>
      </c>
      <c r="O986" s="2">
        <v>45195</v>
      </c>
      <c r="P986" t="s">
        <v>42</v>
      </c>
      <c r="Q986" t="s">
        <v>29</v>
      </c>
      <c r="R986" t="s">
        <v>30</v>
      </c>
      <c r="S986">
        <v>10</v>
      </c>
      <c r="T986">
        <v>10</v>
      </c>
      <c r="U986" t="s">
        <v>48</v>
      </c>
      <c r="V986" t="str">
        <f t="shared" si="15"/>
        <v>Sep-2023</v>
      </c>
      <c r="W986" s="16">
        <f>Table1[[#This Row],[Consultation Date]] - Table1[[#This Row],[Appointment Date]]</f>
        <v>2</v>
      </c>
    </row>
    <row r="987" spans="1:23" x14ac:dyDescent="0.3">
      <c r="A987" t="s">
        <v>1044</v>
      </c>
      <c r="B987">
        <v>37</v>
      </c>
      <c r="C987" t="s">
        <v>52</v>
      </c>
      <c r="D987" s="2">
        <v>45112</v>
      </c>
      <c r="E987" s="2">
        <v>45143</v>
      </c>
      <c r="F987">
        <v>1</v>
      </c>
      <c r="G987" t="s">
        <v>23</v>
      </c>
      <c r="H987">
        <v>2</v>
      </c>
      <c r="I987" t="s">
        <v>24</v>
      </c>
      <c r="J987">
        <v>43985</v>
      </c>
      <c r="K987" t="s">
        <v>36</v>
      </c>
      <c r="L987" t="s">
        <v>54</v>
      </c>
      <c r="M987" t="s">
        <v>27</v>
      </c>
      <c r="N987" s="2">
        <v>45112</v>
      </c>
      <c r="O987" s="2">
        <v>45143.5</v>
      </c>
      <c r="P987" t="s">
        <v>55</v>
      </c>
      <c r="Q987" t="s">
        <v>29</v>
      </c>
      <c r="R987" t="s">
        <v>30</v>
      </c>
      <c r="S987">
        <v>4</v>
      </c>
      <c r="T987">
        <v>8</v>
      </c>
      <c r="U987" t="s">
        <v>68</v>
      </c>
      <c r="V987" t="str">
        <f t="shared" si="15"/>
        <v>Jul-2023</v>
      </c>
      <c r="W987" s="16">
        <f>Table1[[#This Row],[Consultation Date]] - Table1[[#This Row],[Appointment Date]]</f>
        <v>31.5</v>
      </c>
    </row>
    <row r="988" spans="1:23" x14ac:dyDescent="0.3">
      <c r="A988" t="s">
        <v>1045</v>
      </c>
      <c r="B988">
        <v>5</v>
      </c>
      <c r="C988" t="s">
        <v>52</v>
      </c>
      <c r="D988" s="2">
        <v>45569</v>
      </c>
      <c r="E988" s="2">
        <v>45395</v>
      </c>
      <c r="F988">
        <v>3</v>
      </c>
      <c r="G988" t="s">
        <v>40</v>
      </c>
      <c r="H988">
        <v>1</v>
      </c>
      <c r="I988" t="s">
        <v>71</v>
      </c>
      <c r="J988">
        <v>43440</v>
      </c>
      <c r="K988" t="s">
        <v>53</v>
      </c>
      <c r="L988" t="s">
        <v>26</v>
      </c>
      <c r="M988" t="s">
        <v>27</v>
      </c>
      <c r="N988" s="2">
        <v>45539</v>
      </c>
      <c r="O988" s="2">
        <v>45539.666666666664</v>
      </c>
      <c r="P988" t="s">
        <v>28</v>
      </c>
      <c r="Q988" t="s">
        <v>29</v>
      </c>
      <c r="R988" t="s">
        <v>30</v>
      </c>
      <c r="S988">
        <v>7</v>
      </c>
      <c r="T988">
        <v>12</v>
      </c>
      <c r="U988" t="s">
        <v>31</v>
      </c>
      <c r="V988" t="str">
        <f t="shared" si="15"/>
        <v>Oct-2024</v>
      </c>
      <c r="W988" s="16">
        <f>Table1[[#This Row],[Consultation Date]] - Table1[[#This Row],[Appointment Date]]</f>
        <v>0.66666666666424135</v>
      </c>
    </row>
    <row r="989" spans="1:23" x14ac:dyDescent="0.3">
      <c r="A989" t="s">
        <v>1046</v>
      </c>
      <c r="B989">
        <v>83</v>
      </c>
      <c r="C989" t="s">
        <v>33</v>
      </c>
      <c r="D989" s="2">
        <v>45304</v>
      </c>
      <c r="E989" s="2">
        <v>45318</v>
      </c>
      <c r="F989">
        <v>14</v>
      </c>
      <c r="G989" t="s">
        <v>34</v>
      </c>
      <c r="H989">
        <v>4</v>
      </c>
      <c r="I989" t="s">
        <v>24</v>
      </c>
      <c r="J989">
        <v>6502</v>
      </c>
      <c r="K989" t="s">
        <v>67</v>
      </c>
      <c r="L989" t="s">
        <v>26</v>
      </c>
      <c r="M989" t="s">
        <v>27</v>
      </c>
      <c r="N989" s="2">
        <v>45627</v>
      </c>
      <c r="O989" s="2">
        <v>45627.291666666664</v>
      </c>
      <c r="P989" t="s">
        <v>37</v>
      </c>
      <c r="Q989" t="s">
        <v>29</v>
      </c>
      <c r="R989" t="s">
        <v>30</v>
      </c>
      <c r="S989">
        <v>10</v>
      </c>
      <c r="T989">
        <v>12</v>
      </c>
      <c r="U989" t="s">
        <v>48</v>
      </c>
      <c r="V989" t="str">
        <f t="shared" si="15"/>
        <v>Jan-2024</v>
      </c>
      <c r="W989" s="16">
        <f>Table1[[#This Row],[Consultation Date]] - Table1[[#This Row],[Appointment Date]]</f>
        <v>0.29166666666424135</v>
      </c>
    </row>
    <row r="990" spans="1:23" x14ac:dyDescent="0.3">
      <c r="A990" t="s">
        <v>1047</v>
      </c>
      <c r="B990">
        <v>78</v>
      </c>
      <c r="C990" t="s">
        <v>33</v>
      </c>
      <c r="D990" s="2">
        <v>45195</v>
      </c>
      <c r="E990" s="2">
        <v>45087</v>
      </c>
      <c r="F990">
        <v>10</v>
      </c>
      <c r="G990" t="s">
        <v>63</v>
      </c>
      <c r="H990">
        <v>5</v>
      </c>
      <c r="I990" t="s">
        <v>66</v>
      </c>
      <c r="J990">
        <v>39178</v>
      </c>
      <c r="K990" t="s">
        <v>67</v>
      </c>
      <c r="L990" t="s">
        <v>26</v>
      </c>
      <c r="M990" t="s">
        <v>27</v>
      </c>
      <c r="N990" s="2">
        <v>45190</v>
      </c>
      <c r="O990" s="2">
        <v>45191.25</v>
      </c>
      <c r="P990" t="s">
        <v>28</v>
      </c>
      <c r="Q990" t="s">
        <v>29</v>
      </c>
      <c r="R990" t="s">
        <v>30</v>
      </c>
      <c r="S990">
        <v>7</v>
      </c>
      <c r="T990">
        <v>10</v>
      </c>
      <c r="U990" t="s">
        <v>31</v>
      </c>
      <c r="V990" t="str">
        <f t="shared" si="15"/>
        <v>Sep-2023</v>
      </c>
      <c r="W990" s="16">
        <f>Table1[[#This Row],[Consultation Date]] - Table1[[#This Row],[Appointment Date]]</f>
        <v>1.25</v>
      </c>
    </row>
    <row r="991" spans="1:23" x14ac:dyDescent="0.3">
      <c r="A991" t="s">
        <v>1048</v>
      </c>
      <c r="B991">
        <v>26</v>
      </c>
      <c r="C991" t="s">
        <v>22</v>
      </c>
      <c r="D991" s="2">
        <v>45317</v>
      </c>
      <c r="E991" s="2">
        <v>45445</v>
      </c>
      <c r="F991">
        <v>11</v>
      </c>
      <c r="G991" t="s">
        <v>34</v>
      </c>
      <c r="H991">
        <v>5</v>
      </c>
      <c r="I991" t="s">
        <v>46</v>
      </c>
      <c r="J991">
        <v>8770</v>
      </c>
      <c r="K991" t="s">
        <v>67</v>
      </c>
      <c r="L991" t="s">
        <v>54</v>
      </c>
      <c r="M991" t="s">
        <v>27</v>
      </c>
      <c r="N991" s="2">
        <v>45313</v>
      </c>
      <c r="O991" s="2">
        <v>45313.291666666664</v>
      </c>
      <c r="P991" t="s">
        <v>42</v>
      </c>
      <c r="Q991" t="s">
        <v>38</v>
      </c>
      <c r="R991" t="s">
        <v>30</v>
      </c>
      <c r="S991">
        <v>11</v>
      </c>
      <c r="T991">
        <v>12</v>
      </c>
      <c r="U991" t="s">
        <v>48</v>
      </c>
      <c r="V991" t="str">
        <f t="shared" si="15"/>
        <v>Jan-2024</v>
      </c>
      <c r="W991" s="16">
        <f>Table1[[#This Row],[Consultation Date]] - Table1[[#This Row],[Appointment Date]]</f>
        <v>0.29166666666424135</v>
      </c>
    </row>
    <row r="992" spans="1:23" x14ac:dyDescent="0.3">
      <c r="A992" t="s">
        <v>1049</v>
      </c>
      <c r="B992">
        <v>62</v>
      </c>
      <c r="C992" t="s">
        <v>45</v>
      </c>
      <c r="D992" s="2">
        <v>45307</v>
      </c>
      <c r="E992" s="2">
        <v>45320</v>
      </c>
      <c r="F992">
        <v>13</v>
      </c>
      <c r="G992" t="s">
        <v>23</v>
      </c>
      <c r="H992">
        <v>3</v>
      </c>
      <c r="I992" t="s">
        <v>66</v>
      </c>
      <c r="J992">
        <v>47865</v>
      </c>
      <c r="K992" t="s">
        <v>36</v>
      </c>
      <c r="L992" t="s">
        <v>26</v>
      </c>
      <c r="M992" t="s">
        <v>27</v>
      </c>
      <c r="N992" s="2">
        <v>45304</v>
      </c>
      <c r="O992" s="2">
        <v>45304.375</v>
      </c>
      <c r="P992" t="s">
        <v>55</v>
      </c>
      <c r="Q992" t="s">
        <v>29</v>
      </c>
      <c r="R992" t="s">
        <v>43</v>
      </c>
      <c r="S992">
        <v>4</v>
      </c>
      <c r="T992">
        <v>10</v>
      </c>
      <c r="U992" t="s">
        <v>68</v>
      </c>
      <c r="V992" t="str">
        <f t="shared" si="15"/>
        <v>Jan-2024</v>
      </c>
      <c r="W992" s="16">
        <f>Table1[[#This Row],[Consultation Date]] - Table1[[#This Row],[Appointment Date]]</f>
        <v>0.375</v>
      </c>
    </row>
    <row r="993" spans="1:23" x14ac:dyDescent="0.3">
      <c r="A993" t="s">
        <v>1050</v>
      </c>
      <c r="B993">
        <v>4</v>
      </c>
      <c r="C993" t="s">
        <v>22</v>
      </c>
      <c r="D993" s="2">
        <v>45037</v>
      </c>
      <c r="E993" s="2">
        <v>45045</v>
      </c>
      <c r="F993">
        <v>8</v>
      </c>
      <c r="G993" t="s">
        <v>63</v>
      </c>
      <c r="H993">
        <v>4</v>
      </c>
      <c r="I993" t="s">
        <v>35</v>
      </c>
      <c r="J993">
        <v>9001</v>
      </c>
      <c r="K993" t="s">
        <v>60</v>
      </c>
      <c r="L993" t="s">
        <v>54</v>
      </c>
      <c r="M993" t="s">
        <v>27</v>
      </c>
      <c r="N993" s="2">
        <v>45035</v>
      </c>
      <c r="O993" s="2">
        <v>45035.333333333336</v>
      </c>
      <c r="P993" t="s">
        <v>42</v>
      </c>
      <c r="Q993" t="s">
        <v>29</v>
      </c>
      <c r="R993" t="s">
        <v>47</v>
      </c>
      <c r="S993">
        <v>11</v>
      </c>
      <c r="T993">
        <v>12</v>
      </c>
      <c r="U993" t="s">
        <v>68</v>
      </c>
      <c r="V993" t="str">
        <f t="shared" si="15"/>
        <v>Apr-2023</v>
      </c>
      <c r="W993" s="16">
        <f>Table1[[#This Row],[Consultation Date]] - Table1[[#This Row],[Appointment Date]]</f>
        <v>0.33333333333575865</v>
      </c>
    </row>
    <row r="994" spans="1:23" x14ac:dyDescent="0.3">
      <c r="A994" t="s">
        <v>1051</v>
      </c>
      <c r="B994">
        <v>89</v>
      </c>
      <c r="C994" t="s">
        <v>62</v>
      </c>
      <c r="D994" s="2">
        <v>45166</v>
      </c>
      <c r="E994" s="2">
        <v>45167</v>
      </c>
      <c r="F994">
        <v>1</v>
      </c>
      <c r="G994" t="s">
        <v>57</v>
      </c>
      <c r="H994">
        <v>1</v>
      </c>
      <c r="I994" t="s">
        <v>46</v>
      </c>
      <c r="J994">
        <v>25946</v>
      </c>
      <c r="K994" t="s">
        <v>25</v>
      </c>
      <c r="L994" t="s">
        <v>54</v>
      </c>
      <c r="M994" t="s">
        <v>41</v>
      </c>
      <c r="N994" s="2">
        <v>45166</v>
      </c>
      <c r="O994" s="2">
        <v>45166.041666666664</v>
      </c>
      <c r="P994" t="s">
        <v>42</v>
      </c>
      <c r="Q994" t="s">
        <v>29</v>
      </c>
      <c r="R994" t="s">
        <v>43</v>
      </c>
      <c r="S994">
        <v>4</v>
      </c>
      <c r="T994">
        <v>8</v>
      </c>
      <c r="U994" t="s">
        <v>68</v>
      </c>
      <c r="V994" t="str">
        <f t="shared" si="15"/>
        <v>Aug-2023</v>
      </c>
      <c r="W994" s="16">
        <f>Table1[[#This Row],[Consultation Date]] - Table1[[#This Row],[Appointment Date]]</f>
        <v>4.1666666664241347E-2</v>
      </c>
    </row>
    <row r="995" spans="1:23" x14ac:dyDescent="0.3">
      <c r="A995" t="s">
        <v>1052</v>
      </c>
      <c r="B995">
        <v>42</v>
      </c>
      <c r="C995" t="s">
        <v>52</v>
      </c>
      <c r="D995" s="2">
        <v>45409</v>
      </c>
      <c r="E995" s="2">
        <v>45412</v>
      </c>
      <c r="F995">
        <v>3</v>
      </c>
      <c r="G995" t="s">
        <v>40</v>
      </c>
      <c r="H995">
        <v>1</v>
      </c>
      <c r="I995" t="s">
        <v>66</v>
      </c>
      <c r="J995">
        <v>5598</v>
      </c>
      <c r="K995" t="s">
        <v>36</v>
      </c>
      <c r="L995" t="s">
        <v>54</v>
      </c>
      <c r="M995" t="s">
        <v>27</v>
      </c>
      <c r="N995" s="2">
        <v>45409</v>
      </c>
      <c r="O995" s="2">
        <v>45409.166666666664</v>
      </c>
      <c r="P995" t="s">
        <v>37</v>
      </c>
      <c r="Q995" t="s">
        <v>29</v>
      </c>
      <c r="R995" t="s">
        <v>30</v>
      </c>
      <c r="S995">
        <v>7</v>
      </c>
      <c r="T995">
        <v>12</v>
      </c>
      <c r="U995" t="s">
        <v>68</v>
      </c>
      <c r="V995" t="str">
        <f t="shared" si="15"/>
        <v>Apr-2024</v>
      </c>
      <c r="W995" s="16">
        <f>Table1[[#This Row],[Consultation Date]] - Table1[[#This Row],[Appointment Date]]</f>
        <v>0.16666666666424135</v>
      </c>
    </row>
    <row r="996" spans="1:23" x14ac:dyDescent="0.3">
      <c r="A996" t="s">
        <v>1053</v>
      </c>
      <c r="B996">
        <v>89</v>
      </c>
      <c r="C996" t="s">
        <v>41</v>
      </c>
      <c r="D996" s="2">
        <v>44952</v>
      </c>
      <c r="E996" s="2">
        <v>44954</v>
      </c>
      <c r="F996">
        <v>2</v>
      </c>
      <c r="G996" t="s">
        <v>23</v>
      </c>
      <c r="H996">
        <v>5</v>
      </c>
      <c r="I996" t="s">
        <v>71</v>
      </c>
      <c r="J996">
        <v>35316</v>
      </c>
      <c r="K996" t="s">
        <v>67</v>
      </c>
      <c r="L996" t="s">
        <v>54</v>
      </c>
      <c r="M996" t="s">
        <v>41</v>
      </c>
      <c r="N996" s="2">
        <v>44947</v>
      </c>
      <c r="O996" s="2">
        <v>44947.625</v>
      </c>
      <c r="P996" t="s">
        <v>42</v>
      </c>
      <c r="Q996" t="s">
        <v>29</v>
      </c>
      <c r="R996" t="s">
        <v>47</v>
      </c>
      <c r="S996">
        <v>5</v>
      </c>
      <c r="T996">
        <v>8</v>
      </c>
      <c r="U996" t="s">
        <v>48</v>
      </c>
      <c r="V996" t="str">
        <f t="shared" si="15"/>
        <v>Jan-2023</v>
      </c>
      <c r="W996" s="16">
        <f>Table1[[#This Row],[Consultation Date]] - Table1[[#This Row],[Appointment Date]]</f>
        <v>0.625</v>
      </c>
    </row>
    <row r="997" spans="1:23" x14ac:dyDescent="0.3">
      <c r="A997" t="s">
        <v>1054</v>
      </c>
      <c r="B997">
        <v>18</v>
      </c>
      <c r="C997" t="s">
        <v>52</v>
      </c>
      <c r="D997" s="2">
        <v>44969</v>
      </c>
      <c r="E997" s="2">
        <v>45089</v>
      </c>
      <c r="F997">
        <v>4</v>
      </c>
      <c r="G997" t="s">
        <v>50</v>
      </c>
      <c r="H997">
        <v>5</v>
      </c>
      <c r="I997" t="s">
        <v>46</v>
      </c>
      <c r="J997">
        <v>30567</v>
      </c>
      <c r="K997" t="s">
        <v>36</v>
      </c>
      <c r="L997" t="s">
        <v>54</v>
      </c>
      <c r="M997" t="s">
        <v>27</v>
      </c>
      <c r="N997" s="2">
        <v>45260</v>
      </c>
      <c r="O997" s="2">
        <v>45260.375</v>
      </c>
      <c r="P997" t="s">
        <v>37</v>
      </c>
      <c r="Q997" t="s">
        <v>29</v>
      </c>
      <c r="R997" t="s">
        <v>47</v>
      </c>
      <c r="S997">
        <v>10</v>
      </c>
      <c r="T997">
        <v>10</v>
      </c>
      <c r="U997" t="s">
        <v>31</v>
      </c>
      <c r="V997" t="str">
        <f t="shared" si="15"/>
        <v>Feb-2023</v>
      </c>
      <c r="W997" s="16">
        <f>Table1[[#This Row],[Consultation Date]] - Table1[[#This Row],[Appointment Date]]</f>
        <v>0.375</v>
      </c>
    </row>
    <row r="998" spans="1:23" x14ac:dyDescent="0.3">
      <c r="A998" t="s">
        <v>1055</v>
      </c>
      <c r="B998">
        <v>40</v>
      </c>
      <c r="C998" t="s">
        <v>52</v>
      </c>
      <c r="D998" s="2">
        <v>45153</v>
      </c>
      <c r="E998" s="2">
        <v>45166</v>
      </c>
      <c r="F998">
        <v>13</v>
      </c>
      <c r="G998" t="s">
        <v>63</v>
      </c>
      <c r="H998">
        <v>2</v>
      </c>
      <c r="I998" t="s">
        <v>46</v>
      </c>
      <c r="J998">
        <v>31508</v>
      </c>
      <c r="K998" t="s">
        <v>53</v>
      </c>
      <c r="L998" t="s">
        <v>54</v>
      </c>
      <c r="M998" t="s">
        <v>41</v>
      </c>
      <c r="N998" s="2">
        <v>45238</v>
      </c>
      <c r="O998" s="2">
        <v>45238.541666666664</v>
      </c>
      <c r="P998" t="s">
        <v>55</v>
      </c>
      <c r="Q998" t="s">
        <v>29</v>
      </c>
      <c r="R998" t="s">
        <v>30</v>
      </c>
      <c r="S998">
        <v>4</v>
      </c>
      <c r="T998">
        <v>10</v>
      </c>
      <c r="U998" t="s">
        <v>68</v>
      </c>
      <c r="V998" t="str">
        <f t="shared" si="15"/>
        <v>Aug-2023</v>
      </c>
      <c r="W998" s="16">
        <f>Table1[[#This Row],[Consultation Date]] - Table1[[#This Row],[Appointment Date]]</f>
        <v>0.54166666666424135</v>
      </c>
    </row>
    <row r="999" spans="1:23" x14ac:dyDescent="0.3">
      <c r="A999" t="s">
        <v>1056</v>
      </c>
      <c r="B999">
        <v>72</v>
      </c>
      <c r="C999" t="s">
        <v>22</v>
      </c>
      <c r="D999" s="2">
        <v>45080</v>
      </c>
      <c r="E999" s="2">
        <v>45002</v>
      </c>
      <c r="F999">
        <v>11</v>
      </c>
      <c r="G999" t="s">
        <v>63</v>
      </c>
      <c r="H999">
        <v>5</v>
      </c>
      <c r="I999" t="s">
        <v>24</v>
      </c>
      <c r="J999">
        <v>48744</v>
      </c>
      <c r="K999" t="s">
        <v>67</v>
      </c>
      <c r="L999" t="s">
        <v>54</v>
      </c>
      <c r="M999" t="s">
        <v>41</v>
      </c>
      <c r="N999" s="2">
        <v>44960</v>
      </c>
      <c r="O999" s="2">
        <v>44988.083333333336</v>
      </c>
      <c r="P999" t="s">
        <v>55</v>
      </c>
      <c r="Q999" t="s">
        <v>29</v>
      </c>
      <c r="R999" t="s">
        <v>30</v>
      </c>
      <c r="S999">
        <v>8</v>
      </c>
      <c r="T999">
        <v>10</v>
      </c>
      <c r="U999" t="s">
        <v>48</v>
      </c>
      <c r="V999" t="str">
        <f t="shared" si="15"/>
        <v>Jun-2023</v>
      </c>
      <c r="W999" s="16">
        <f>Table1[[#This Row],[Consultation Date]] - Table1[[#This Row],[Appointment Date]]</f>
        <v>28.083333333335759</v>
      </c>
    </row>
    <row r="1000" spans="1:23" x14ac:dyDescent="0.3">
      <c r="A1000" t="s">
        <v>1057</v>
      </c>
      <c r="B1000">
        <v>39</v>
      </c>
      <c r="C1000" t="s">
        <v>41</v>
      </c>
      <c r="D1000" s="2">
        <v>45402</v>
      </c>
      <c r="E1000" s="2">
        <v>45408</v>
      </c>
      <c r="F1000">
        <v>6</v>
      </c>
      <c r="G1000" t="s">
        <v>23</v>
      </c>
      <c r="H1000">
        <v>2</v>
      </c>
      <c r="I1000" t="s">
        <v>71</v>
      </c>
      <c r="J1000">
        <v>44159</v>
      </c>
      <c r="K1000" t="s">
        <v>53</v>
      </c>
      <c r="L1000" t="s">
        <v>54</v>
      </c>
      <c r="M1000" t="s">
        <v>27</v>
      </c>
      <c r="N1000" s="2">
        <v>45397</v>
      </c>
      <c r="O1000" s="2">
        <v>45398</v>
      </c>
      <c r="P1000" t="s">
        <v>37</v>
      </c>
      <c r="Q1000" t="s">
        <v>29</v>
      </c>
      <c r="R1000" t="s">
        <v>30</v>
      </c>
      <c r="S1000">
        <v>10</v>
      </c>
      <c r="T1000">
        <v>8</v>
      </c>
      <c r="U1000" t="s">
        <v>31</v>
      </c>
      <c r="V1000" t="str">
        <f t="shared" si="15"/>
        <v>Apr-2024</v>
      </c>
      <c r="W1000" s="16">
        <f>Table1[[#This Row],[Consultation Date]] - Table1[[#This Row],[Appointment Date]]</f>
        <v>1</v>
      </c>
    </row>
    <row r="1001" spans="1:23" x14ac:dyDescent="0.3">
      <c r="A1001" t="s">
        <v>1058</v>
      </c>
      <c r="B1001">
        <v>14</v>
      </c>
      <c r="C1001" t="s">
        <v>41</v>
      </c>
      <c r="D1001" s="2">
        <v>45088</v>
      </c>
      <c r="E1001" s="2">
        <v>45271</v>
      </c>
      <c r="F1001">
        <v>6</v>
      </c>
      <c r="G1001" t="s">
        <v>23</v>
      </c>
      <c r="H1001">
        <v>1</v>
      </c>
      <c r="I1001" t="s">
        <v>35</v>
      </c>
      <c r="J1001">
        <v>35276</v>
      </c>
      <c r="K1001" t="s">
        <v>67</v>
      </c>
      <c r="L1001" t="s">
        <v>26</v>
      </c>
      <c r="M1001" t="s">
        <v>27</v>
      </c>
      <c r="N1001" s="2">
        <v>45088</v>
      </c>
      <c r="O1001" s="2">
        <v>45118.833333333336</v>
      </c>
      <c r="P1001" t="s">
        <v>28</v>
      </c>
      <c r="Q1001" t="s">
        <v>29</v>
      </c>
      <c r="R1001" t="s">
        <v>30</v>
      </c>
      <c r="S1001">
        <v>8</v>
      </c>
      <c r="T1001">
        <v>10</v>
      </c>
      <c r="U1001" t="s">
        <v>68</v>
      </c>
      <c r="V1001" t="str">
        <f t="shared" si="15"/>
        <v>Jun-2023</v>
      </c>
      <c r="W1001" s="16">
        <f>Table1[[#This Row],[Consultation Date]] - Table1[[#This Row],[Appointment Date]]</f>
        <v>30.833333333335759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3510-2F30-4DB1-89A3-9BFE1C161FC1}">
  <dimension ref="A2:H172"/>
  <sheetViews>
    <sheetView tabSelected="1" topLeftCell="A133" zoomScaleNormal="100" workbookViewId="0">
      <selection activeCell="E146" sqref="E146"/>
    </sheetView>
  </sheetViews>
  <sheetFormatPr defaultRowHeight="14.4" x14ac:dyDescent="0.3"/>
  <cols>
    <col min="1" max="1" width="15.21875" bestFit="1" customWidth="1"/>
    <col min="2" max="2" width="15.5546875" bestFit="1" customWidth="1"/>
    <col min="3" max="3" width="9.109375" customWidth="1"/>
    <col min="4" max="4" width="10.5546875" bestFit="1" customWidth="1"/>
    <col min="5" max="5" width="8" bestFit="1" customWidth="1"/>
    <col min="6" max="6" width="10.21875" bestFit="1" customWidth="1"/>
    <col min="7" max="8" width="10.5546875" bestFit="1" customWidth="1"/>
    <col min="9" max="10" width="2" bestFit="1" customWidth="1"/>
    <col min="11" max="16" width="3" bestFit="1" customWidth="1"/>
    <col min="17" max="17" width="10.5546875" bestFit="1" customWidth="1"/>
    <col min="18" max="89" width="15.5546875" bestFit="1" customWidth="1"/>
    <col min="90" max="90" width="10.5546875" bestFit="1" customWidth="1"/>
    <col min="91" max="1001" width="8.109375" bestFit="1" customWidth="1"/>
    <col min="1002" max="1002" width="10.5546875" bestFit="1" customWidth="1"/>
    <col min="1003" max="1009" width="8.109375" bestFit="1" customWidth="1"/>
    <col min="1010" max="1010" width="13.44140625" bestFit="1" customWidth="1"/>
    <col min="1011" max="1011" width="10.5546875" bestFit="1" customWidth="1"/>
    <col min="1012" max="1024" width="8.109375" bestFit="1" customWidth="1"/>
    <col min="1025" max="1025" width="13.44140625" bestFit="1" customWidth="1"/>
    <col min="1026" max="1026" width="10.5546875" bestFit="1" customWidth="1"/>
  </cols>
  <sheetData>
    <row r="2" spans="1:2" x14ac:dyDescent="0.3">
      <c r="A2" t="s">
        <v>1067</v>
      </c>
    </row>
    <row r="4" spans="1:2" x14ac:dyDescent="0.3">
      <c r="A4" s="3" t="s">
        <v>1064</v>
      </c>
      <c r="B4" t="s">
        <v>1082</v>
      </c>
    </row>
    <row r="5" spans="1:2" x14ac:dyDescent="0.3">
      <c r="A5" s="4" t="s">
        <v>1083</v>
      </c>
      <c r="B5">
        <v>7.3821138211382111</v>
      </c>
    </row>
    <row r="6" spans="1:2" x14ac:dyDescent="0.3">
      <c r="A6" s="4" t="s">
        <v>1084</v>
      </c>
      <c r="B6">
        <v>8.1794871794871788</v>
      </c>
    </row>
    <row r="7" spans="1:2" x14ac:dyDescent="0.3">
      <c r="A7" s="4" t="s">
        <v>1085</v>
      </c>
      <c r="B7">
        <v>7.3545454545454545</v>
      </c>
    </row>
    <row r="8" spans="1:2" x14ac:dyDescent="0.3">
      <c r="A8" s="4" t="s">
        <v>1086</v>
      </c>
      <c r="B8">
        <v>8.203389830508474</v>
      </c>
    </row>
    <row r="9" spans="1:2" x14ac:dyDescent="0.3">
      <c r="A9" s="4" t="s">
        <v>1087</v>
      </c>
      <c r="B9">
        <v>6.9255319148936172</v>
      </c>
    </row>
    <row r="10" spans="1:2" x14ac:dyDescent="0.3">
      <c r="A10" s="4" t="s">
        <v>1088</v>
      </c>
      <c r="B10">
        <v>8.0847457627118651</v>
      </c>
    </row>
    <row r="11" spans="1:2" x14ac:dyDescent="0.3">
      <c r="A11" s="4" t="s">
        <v>1089</v>
      </c>
      <c r="B11">
        <v>8.1679999999999993</v>
      </c>
    </row>
    <row r="12" spans="1:2" x14ac:dyDescent="0.3">
      <c r="A12" s="4" t="s">
        <v>1090</v>
      </c>
      <c r="B12">
        <v>8.4845360824742269</v>
      </c>
    </row>
    <row r="13" spans="1:2" x14ac:dyDescent="0.3">
      <c r="A13" s="4" t="s">
        <v>1091</v>
      </c>
      <c r="B13">
        <v>7.9183673469387754</v>
      </c>
    </row>
    <row r="14" spans="1:2" x14ac:dyDescent="0.3">
      <c r="A14" s="4" t="s">
        <v>1065</v>
      </c>
      <c r="B14">
        <v>7.867</v>
      </c>
    </row>
    <row r="18" spans="1:8" x14ac:dyDescent="0.3">
      <c r="A18" t="s">
        <v>1081</v>
      </c>
    </row>
    <row r="19" spans="1:8" x14ac:dyDescent="0.3">
      <c r="A19" s="3" t="s">
        <v>1079</v>
      </c>
      <c r="B19" s="3" t="s">
        <v>1066</v>
      </c>
    </row>
    <row r="20" spans="1:8" x14ac:dyDescent="0.3">
      <c r="A20" s="3" t="s">
        <v>1064</v>
      </c>
      <c r="B20" t="s">
        <v>52</v>
      </c>
      <c r="C20" t="s">
        <v>41</v>
      </c>
      <c r="D20" t="s">
        <v>45</v>
      </c>
      <c r="E20" t="s">
        <v>33</v>
      </c>
      <c r="F20" t="s">
        <v>22</v>
      </c>
      <c r="G20" t="s">
        <v>62</v>
      </c>
      <c r="H20" t="s">
        <v>1065</v>
      </c>
    </row>
    <row r="21" spans="1:8" x14ac:dyDescent="0.3">
      <c r="A21" s="4" t="s">
        <v>1070</v>
      </c>
      <c r="B21">
        <v>8</v>
      </c>
      <c r="C21">
        <v>6</v>
      </c>
      <c r="D21">
        <v>12</v>
      </c>
      <c r="E21">
        <v>14</v>
      </c>
      <c r="F21">
        <v>8</v>
      </c>
      <c r="G21">
        <v>8</v>
      </c>
      <c r="H21">
        <v>56</v>
      </c>
    </row>
    <row r="22" spans="1:8" x14ac:dyDescent="0.3">
      <c r="A22" s="4" t="s">
        <v>1077</v>
      </c>
      <c r="B22">
        <v>13</v>
      </c>
      <c r="C22">
        <v>8</v>
      </c>
      <c r="D22">
        <v>14</v>
      </c>
      <c r="E22">
        <v>14</v>
      </c>
      <c r="F22">
        <v>10</v>
      </c>
      <c r="G22">
        <v>5</v>
      </c>
      <c r="H22">
        <v>64</v>
      </c>
    </row>
    <row r="23" spans="1:8" x14ac:dyDescent="0.3">
      <c r="A23" s="4" t="s">
        <v>1076</v>
      </c>
      <c r="B23">
        <v>13</v>
      </c>
      <c r="C23">
        <v>8</v>
      </c>
      <c r="D23">
        <v>11</v>
      </c>
      <c r="E23">
        <v>8</v>
      </c>
      <c r="F23">
        <v>9</v>
      </c>
      <c r="G23">
        <v>9</v>
      </c>
      <c r="H23">
        <v>58</v>
      </c>
    </row>
    <row r="24" spans="1:8" x14ac:dyDescent="0.3">
      <c r="A24" s="4" t="s">
        <v>1078</v>
      </c>
      <c r="B24">
        <v>7</v>
      </c>
      <c r="C24">
        <v>10</v>
      </c>
      <c r="D24">
        <v>8</v>
      </c>
      <c r="E24">
        <v>7</v>
      </c>
      <c r="F24">
        <v>14</v>
      </c>
      <c r="G24">
        <v>6</v>
      </c>
      <c r="H24">
        <v>52</v>
      </c>
    </row>
    <row r="25" spans="1:8" x14ac:dyDescent="0.3">
      <c r="A25" s="4" t="s">
        <v>1072</v>
      </c>
      <c r="B25">
        <v>7</v>
      </c>
      <c r="C25">
        <v>13</v>
      </c>
      <c r="D25">
        <v>12</v>
      </c>
      <c r="E25">
        <v>14</v>
      </c>
      <c r="F25">
        <v>7</v>
      </c>
      <c r="G25">
        <v>9</v>
      </c>
      <c r="H25">
        <v>62</v>
      </c>
    </row>
    <row r="26" spans="1:8" x14ac:dyDescent="0.3">
      <c r="A26" s="4" t="s">
        <v>1073</v>
      </c>
      <c r="B26">
        <v>15</v>
      </c>
      <c r="C26">
        <v>10</v>
      </c>
      <c r="D26">
        <v>9</v>
      </c>
      <c r="E26">
        <v>10</v>
      </c>
      <c r="F26">
        <v>10</v>
      </c>
      <c r="G26">
        <v>3</v>
      </c>
      <c r="H26">
        <v>57</v>
      </c>
    </row>
    <row r="27" spans="1:8" x14ac:dyDescent="0.3">
      <c r="A27" s="4" t="s">
        <v>1075</v>
      </c>
      <c r="B27">
        <v>9</v>
      </c>
      <c r="C27">
        <v>11</v>
      </c>
      <c r="D27">
        <v>6</v>
      </c>
      <c r="E27">
        <v>10</v>
      </c>
      <c r="F27">
        <v>14</v>
      </c>
      <c r="G27">
        <v>4</v>
      </c>
      <c r="H27">
        <v>54</v>
      </c>
    </row>
    <row r="28" spans="1:8" x14ac:dyDescent="0.3">
      <c r="A28" s="4" t="s">
        <v>1069</v>
      </c>
      <c r="B28">
        <v>5</v>
      </c>
      <c r="C28">
        <v>7</v>
      </c>
      <c r="D28">
        <v>12</v>
      </c>
      <c r="E28">
        <v>13</v>
      </c>
      <c r="F28">
        <v>10</v>
      </c>
      <c r="G28">
        <v>5</v>
      </c>
      <c r="H28">
        <v>52</v>
      </c>
    </row>
    <row r="29" spans="1:8" x14ac:dyDescent="0.3">
      <c r="A29" s="4" t="s">
        <v>1074</v>
      </c>
      <c r="B29">
        <v>9</v>
      </c>
      <c r="C29">
        <v>10</v>
      </c>
      <c r="D29">
        <v>13</v>
      </c>
      <c r="E29">
        <v>3</v>
      </c>
      <c r="F29">
        <v>9</v>
      </c>
      <c r="G29">
        <v>11</v>
      </c>
      <c r="H29">
        <v>55</v>
      </c>
    </row>
    <row r="30" spans="1:8" x14ac:dyDescent="0.3">
      <c r="A30" s="4" t="s">
        <v>1071</v>
      </c>
      <c r="B30">
        <v>6</v>
      </c>
      <c r="C30">
        <v>13</v>
      </c>
      <c r="D30">
        <v>11</v>
      </c>
      <c r="E30">
        <v>11</v>
      </c>
      <c r="F30">
        <v>16</v>
      </c>
      <c r="G30">
        <v>10</v>
      </c>
      <c r="H30">
        <v>67</v>
      </c>
    </row>
    <row r="31" spans="1:8" x14ac:dyDescent="0.3">
      <c r="A31" s="4" t="s">
        <v>1068</v>
      </c>
      <c r="B31">
        <v>12</v>
      </c>
      <c r="C31">
        <v>9</v>
      </c>
      <c r="D31">
        <v>14</v>
      </c>
      <c r="E31">
        <v>9</v>
      </c>
      <c r="F31">
        <v>10</v>
      </c>
      <c r="G31">
        <v>9</v>
      </c>
      <c r="H31">
        <v>63</v>
      </c>
    </row>
    <row r="32" spans="1:8" x14ac:dyDescent="0.3">
      <c r="A32" s="4" t="s">
        <v>1065</v>
      </c>
      <c r="B32">
        <v>104</v>
      </c>
      <c r="C32">
        <v>105</v>
      </c>
      <c r="D32">
        <v>122</v>
      </c>
      <c r="E32">
        <v>113</v>
      </c>
      <c r="F32">
        <v>117</v>
      </c>
      <c r="G32">
        <v>79</v>
      </c>
      <c r="H32">
        <v>640</v>
      </c>
    </row>
    <row r="36" spans="1:2" x14ac:dyDescent="0.3">
      <c r="A36" t="s">
        <v>1080</v>
      </c>
    </row>
    <row r="38" spans="1:2" x14ac:dyDescent="0.3">
      <c r="A38" s="3" t="s">
        <v>1064</v>
      </c>
      <c r="B38" t="s">
        <v>1079</v>
      </c>
    </row>
    <row r="39" spans="1:2" x14ac:dyDescent="0.3">
      <c r="A39" s="4" t="s">
        <v>50</v>
      </c>
      <c r="B39">
        <v>173</v>
      </c>
    </row>
    <row r="40" spans="1:2" x14ac:dyDescent="0.3">
      <c r="A40" s="4" t="s">
        <v>57</v>
      </c>
      <c r="B40">
        <v>170</v>
      </c>
    </row>
    <row r="41" spans="1:2" x14ac:dyDescent="0.3">
      <c r="A41" s="4" t="s">
        <v>34</v>
      </c>
      <c r="B41">
        <v>185</v>
      </c>
    </row>
    <row r="42" spans="1:2" x14ac:dyDescent="0.3">
      <c r="A42" s="4" t="s">
        <v>23</v>
      </c>
      <c r="B42">
        <v>167</v>
      </c>
    </row>
    <row r="43" spans="1:2" x14ac:dyDescent="0.3">
      <c r="A43" s="4" t="s">
        <v>40</v>
      </c>
      <c r="B43">
        <v>157</v>
      </c>
    </row>
    <row r="44" spans="1:2" x14ac:dyDescent="0.3">
      <c r="A44" s="4" t="s">
        <v>63</v>
      </c>
      <c r="B44">
        <v>148</v>
      </c>
    </row>
    <row r="45" spans="1:2" x14ac:dyDescent="0.3">
      <c r="A45" s="4" t="s">
        <v>1065</v>
      </c>
      <c r="B45">
        <v>1000</v>
      </c>
    </row>
    <row r="50" spans="1:2" x14ac:dyDescent="0.3">
      <c r="A50" t="s">
        <v>1092</v>
      </c>
    </row>
    <row r="52" spans="1:2" x14ac:dyDescent="0.3">
      <c r="A52" s="3" t="s">
        <v>1064</v>
      </c>
      <c r="B52" t="s">
        <v>1093</v>
      </c>
    </row>
    <row r="53" spans="1:2" x14ac:dyDescent="0.3">
      <c r="A53" s="4" t="s">
        <v>50</v>
      </c>
      <c r="B53">
        <v>25417.352601156068</v>
      </c>
    </row>
    <row r="54" spans="1:2" x14ac:dyDescent="0.3">
      <c r="A54" s="4" t="s">
        <v>57</v>
      </c>
      <c r="B54">
        <v>26497.3</v>
      </c>
    </row>
    <row r="55" spans="1:2" x14ac:dyDescent="0.3">
      <c r="A55" s="4" t="s">
        <v>34</v>
      </c>
      <c r="B55">
        <v>28021.789189189189</v>
      </c>
    </row>
    <row r="56" spans="1:2" x14ac:dyDescent="0.3">
      <c r="A56" s="4" t="s">
        <v>23</v>
      </c>
      <c r="B56">
        <v>27130.820359281439</v>
      </c>
    </row>
    <row r="57" spans="1:2" x14ac:dyDescent="0.3">
      <c r="A57" s="4" t="s">
        <v>40</v>
      </c>
      <c r="B57">
        <v>27084.993630573248</v>
      </c>
    </row>
    <row r="58" spans="1:2" x14ac:dyDescent="0.3">
      <c r="A58" s="4" t="s">
        <v>63</v>
      </c>
      <c r="B58">
        <v>26460.027027027027</v>
      </c>
    </row>
    <row r="59" spans="1:2" x14ac:dyDescent="0.3">
      <c r="A59" s="4" t="s">
        <v>1065</v>
      </c>
      <c r="B59">
        <v>26785.048999999999</v>
      </c>
    </row>
    <row r="64" spans="1:2" x14ac:dyDescent="0.3">
      <c r="A64" t="s">
        <v>1094</v>
      </c>
    </row>
    <row r="83" spans="1:7" x14ac:dyDescent="0.3">
      <c r="A83" t="s">
        <v>1095</v>
      </c>
    </row>
    <row r="85" spans="1:7" x14ac:dyDescent="0.3">
      <c r="A85" s="3" t="s">
        <v>1096</v>
      </c>
      <c r="B85" s="3" t="s">
        <v>1066</v>
      </c>
    </row>
    <row r="86" spans="1:7" x14ac:dyDescent="0.3">
      <c r="A86" s="3" t="s">
        <v>1064</v>
      </c>
      <c r="B86" t="s">
        <v>53</v>
      </c>
      <c r="C86" t="s">
        <v>67</v>
      </c>
      <c r="D86" t="s">
        <v>25</v>
      </c>
      <c r="E86" t="s">
        <v>60</v>
      </c>
      <c r="F86" t="s">
        <v>36</v>
      </c>
      <c r="G86" t="s">
        <v>1065</v>
      </c>
    </row>
    <row r="87" spans="1:7" x14ac:dyDescent="0.3">
      <c r="A87" s="4" t="s">
        <v>52</v>
      </c>
      <c r="B87">
        <v>31</v>
      </c>
      <c r="C87">
        <v>31</v>
      </c>
      <c r="D87">
        <v>34</v>
      </c>
      <c r="E87">
        <v>35</v>
      </c>
      <c r="F87">
        <v>34</v>
      </c>
      <c r="G87">
        <v>165</v>
      </c>
    </row>
    <row r="88" spans="1:7" x14ac:dyDescent="0.3">
      <c r="A88" s="4" t="s">
        <v>41</v>
      </c>
      <c r="B88">
        <v>35</v>
      </c>
      <c r="C88">
        <v>29</v>
      </c>
      <c r="D88">
        <v>39</v>
      </c>
      <c r="E88">
        <v>29</v>
      </c>
      <c r="F88">
        <v>34</v>
      </c>
      <c r="G88">
        <v>166</v>
      </c>
    </row>
    <row r="89" spans="1:7" x14ac:dyDescent="0.3">
      <c r="A89" s="4" t="s">
        <v>45</v>
      </c>
      <c r="B89">
        <v>26</v>
      </c>
      <c r="C89">
        <v>37</v>
      </c>
      <c r="D89">
        <v>39</v>
      </c>
      <c r="E89">
        <v>39</v>
      </c>
      <c r="F89">
        <v>40</v>
      </c>
      <c r="G89">
        <v>181</v>
      </c>
    </row>
    <row r="90" spans="1:7" x14ac:dyDescent="0.3">
      <c r="A90" s="4" t="s">
        <v>33</v>
      </c>
      <c r="B90">
        <v>45</v>
      </c>
      <c r="C90">
        <v>35</v>
      </c>
      <c r="D90">
        <v>27</v>
      </c>
      <c r="E90">
        <v>35</v>
      </c>
      <c r="F90">
        <v>37</v>
      </c>
      <c r="G90">
        <v>179</v>
      </c>
    </row>
    <row r="91" spans="1:7" x14ac:dyDescent="0.3">
      <c r="A91" s="4" t="s">
        <v>22</v>
      </c>
      <c r="B91">
        <v>25</v>
      </c>
      <c r="C91">
        <v>40</v>
      </c>
      <c r="D91">
        <v>36</v>
      </c>
      <c r="E91">
        <v>44</v>
      </c>
      <c r="F91">
        <v>28</v>
      </c>
      <c r="G91">
        <v>173</v>
      </c>
    </row>
    <row r="92" spans="1:7" x14ac:dyDescent="0.3">
      <c r="A92" s="4" t="s">
        <v>62</v>
      </c>
      <c r="B92">
        <v>24</v>
      </c>
      <c r="C92">
        <v>25</v>
      </c>
      <c r="D92">
        <v>23</v>
      </c>
      <c r="E92">
        <v>37</v>
      </c>
      <c r="F92">
        <v>27</v>
      </c>
      <c r="G92">
        <v>136</v>
      </c>
    </row>
    <row r="93" spans="1:7" x14ac:dyDescent="0.3">
      <c r="A93" s="4" t="s">
        <v>1065</v>
      </c>
      <c r="B93">
        <v>186</v>
      </c>
      <c r="C93">
        <v>197</v>
      </c>
      <c r="D93">
        <v>198</v>
      </c>
      <c r="E93">
        <v>219</v>
      </c>
      <c r="F93">
        <v>200</v>
      </c>
      <c r="G93">
        <v>1000</v>
      </c>
    </row>
    <row r="96" spans="1:7" x14ac:dyDescent="0.3">
      <c r="A96" t="s">
        <v>1097</v>
      </c>
    </row>
    <row r="98" spans="1:2" x14ac:dyDescent="0.3">
      <c r="A98" s="3" t="s">
        <v>1064</v>
      </c>
      <c r="B98" t="s">
        <v>1079</v>
      </c>
    </row>
    <row r="99" spans="1:2" x14ac:dyDescent="0.3">
      <c r="A99" s="4" t="s">
        <v>26</v>
      </c>
      <c r="B99" s="5">
        <v>0.38300000000000001</v>
      </c>
    </row>
    <row r="100" spans="1:2" x14ac:dyDescent="0.3">
      <c r="A100" s="4" t="s">
        <v>54</v>
      </c>
      <c r="B100" s="5">
        <v>0.61699999999999999</v>
      </c>
    </row>
    <row r="101" spans="1:2" x14ac:dyDescent="0.3">
      <c r="A101" s="4" t="s">
        <v>1065</v>
      </c>
      <c r="B101" s="5">
        <v>1</v>
      </c>
    </row>
    <row r="105" spans="1:2" x14ac:dyDescent="0.3">
      <c r="A105" t="s">
        <v>1098</v>
      </c>
    </row>
    <row r="107" spans="1:2" x14ac:dyDescent="0.3">
      <c r="A107" s="3" t="s">
        <v>12</v>
      </c>
      <c r="B107" t="s">
        <v>41</v>
      </c>
    </row>
    <row r="109" spans="1:2" x14ac:dyDescent="0.3">
      <c r="A109" s="3" t="s">
        <v>1064</v>
      </c>
      <c r="B109" t="s">
        <v>1079</v>
      </c>
    </row>
    <row r="110" spans="1:2" x14ac:dyDescent="0.3">
      <c r="A110" s="4" t="s">
        <v>1099</v>
      </c>
      <c r="B110">
        <v>12</v>
      </c>
    </row>
    <row r="111" spans="1:2" x14ac:dyDescent="0.3">
      <c r="A111" s="4" t="s">
        <v>1100</v>
      </c>
      <c r="B111">
        <v>12</v>
      </c>
    </row>
    <row r="112" spans="1:2" x14ac:dyDescent="0.3">
      <c r="A112" s="4" t="s">
        <v>1101</v>
      </c>
      <c r="B112">
        <v>15</v>
      </c>
    </row>
    <row r="113" spans="1:2" x14ac:dyDescent="0.3">
      <c r="A113" s="4" t="s">
        <v>1102</v>
      </c>
      <c r="B113">
        <v>18</v>
      </c>
    </row>
    <row r="114" spans="1:2" x14ac:dyDescent="0.3">
      <c r="A114" s="4" t="s">
        <v>1103</v>
      </c>
      <c r="B114">
        <v>12</v>
      </c>
    </row>
    <row r="115" spans="1:2" x14ac:dyDescent="0.3">
      <c r="A115" s="4" t="s">
        <v>1104</v>
      </c>
      <c r="B115">
        <v>6</v>
      </c>
    </row>
    <row r="116" spans="1:2" x14ac:dyDescent="0.3">
      <c r="A116" s="4" t="s">
        <v>1105</v>
      </c>
      <c r="B116">
        <v>3</v>
      </c>
    </row>
    <row r="117" spans="1:2" x14ac:dyDescent="0.3">
      <c r="A117" s="4" t="s">
        <v>1106</v>
      </c>
      <c r="B117">
        <v>2</v>
      </c>
    </row>
    <row r="118" spans="1:2" x14ac:dyDescent="0.3">
      <c r="A118" s="4" t="s">
        <v>1107</v>
      </c>
      <c r="B118">
        <v>4</v>
      </c>
    </row>
    <row r="119" spans="1:2" x14ac:dyDescent="0.3">
      <c r="A119" s="4" t="s">
        <v>1108</v>
      </c>
      <c r="B119">
        <v>2</v>
      </c>
    </row>
    <row r="120" spans="1:2" x14ac:dyDescent="0.3">
      <c r="A120" s="4" t="s">
        <v>1109</v>
      </c>
      <c r="B120">
        <v>4</v>
      </c>
    </row>
    <row r="121" spans="1:2" x14ac:dyDescent="0.3">
      <c r="A121" s="4" t="s">
        <v>1110</v>
      </c>
      <c r="B121">
        <v>3</v>
      </c>
    </row>
    <row r="122" spans="1:2" x14ac:dyDescent="0.3">
      <c r="A122" s="4" t="s">
        <v>1065</v>
      </c>
      <c r="B122">
        <v>93</v>
      </c>
    </row>
    <row r="126" spans="1:2" x14ac:dyDescent="0.3">
      <c r="A126" t="s">
        <v>1112</v>
      </c>
    </row>
    <row r="127" spans="1:2" x14ac:dyDescent="0.3">
      <c r="A127" t="s">
        <v>1111</v>
      </c>
    </row>
    <row r="129" spans="1:5" x14ac:dyDescent="0.3">
      <c r="A129" s="3" t="s">
        <v>1064</v>
      </c>
      <c r="B129" t="s">
        <v>1079</v>
      </c>
      <c r="C129" t="s">
        <v>1113</v>
      </c>
    </row>
    <row r="130" spans="1:5" x14ac:dyDescent="0.3">
      <c r="A130" s="4" t="s">
        <v>52</v>
      </c>
      <c r="B130">
        <v>165</v>
      </c>
      <c r="C130">
        <v>5</v>
      </c>
      <c r="E130" cm="1">
        <f t="array" ref="E130:E135">B130:B135/C130:C135</f>
        <v>33</v>
      </c>
    </row>
    <row r="131" spans="1:5" x14ac:dyDescent="0.3">
      <c r="A131" s="4" t="s">
        <v>41</v>
      </c>
      <c r="B131">
        <v>166</v>
      </c>
      <c r="C131">
        <v>5</v>
      </c>
      <c r="E131">
        <v>33.200000000000003</v>
      </c>
    </row>
    <row r="132" spans="1:5" x14ac:dyDescent="0.3">
      <c r="A132" s="4" t="s">
        <v>45</v>
      </c>
      <c r="B132">
        <v>181</v>
      </c>
      <c r="C132">
        <v>5</v>
      </c>
      <c r="E132">
        <v>36.200000000000003</v>
      </c>
    </row>
    <row r="133" spans="1:5" x14ac:dyDescent="0.3">
      <c r="A133" s="4" t="s">
        <v>33</v>
      </c>
      <c r="B133">
        <v>179</v>
      </c>
      <c r="C133">
        <v>5</v>
      </c>
      <c r="E133">
        <v>35.799999999999997</v>
      </c>
    </row>
    <row r="134" spans="1:5" x14ac:dyDescent="0.3">
      <c r="A134" s="4" t="s">
        <v>22</v>
      </c>
      <c r="B134">
        <v>173</v>
      </c>
      <c r="C134">
        <v>5</v>
      </c>
      <c r="E134">
        <v>34.6</v>
      </c>
    </row>
    <row r="135" spans="1:5" x14ac:dyDescent="0.3">
      <c r="A135" s="4" t="s">
        <v>62</v>
      </c>
      <c r="B135">
        <v>136</v>
      </c>
      <c r="C135">
        <v>5</v>
      </c>
      <c r="E135">
        <v>27.2</v>
      </c>
    </row>
    <row r="136" spans="1:5" x14ac:dyDescent="0.3">
      <c r="A136" s="4" t="s">
        <v>1065</v>
      </c>
      <c r="B136">
        <v>1000</v>
      </c>
      <c r="C136">
        <v>5</v>
      </c>
    </row>
    <row r="140" spans="1:5" x14ac:dyDescent="0.3">
      <c r="A140" t="s">
        <v>1117</v>
      </c>
    </row>
    <row r="142" spans="1:5" x14ac:dyDescent="0.3">
      <c r="A142" s="3" t="s">
        <v>1079</v>
      </c>
      <c r="B142" s="3" t="s">
        <v>1066</v>
      </c>
    </row>
    <row r="143" spans="1:5" x14ac:dyDescent="0.3">
      <c r="A143" s="3" t="s">
        <v>1064</v>
      </c>
      <c r="B143" t="s">
        <v>29</v>
      </c>
      <c r="C143" t="s">
        <v>38</v>
      </c>
      <c r="D143" t="s">
        <v>1065</v>
      </c>
      <c r="E143" t="s">
        <v>1118</v>
      </c>
    </row>
    <row r="144" spans="1:5" x14ac:dyDescent="0.3">
      <c r="A144" s="4" t="s">
        <v>37</v>
      </c>
      <c r="B144">
        <v>172</v>
      </c>
      <c r="C144">
        <v>13</v>
      </c>
      <c r="D144">
        <v>185</v>
      </c>
      <c r="E144" s="5">
        <f>C144/D144</f>
        <v>7.0270270270270274E-2</v>
      </c>
    </row>
    <row r="145" spans="1:5" x14ac:dyDescent="0.3">
      <c r="A145" s="4" t="s">
        <v>42</v>
      </c>
      <c r="B145">
        <v>203</v>
      </c>
      <c r="C145">
        <v>17</v>
      </c>
      <c r="D145">
        <v>220</v>
      </c>
      <c r="E145" s="5">
        <f t="shared" ref="E145:E149" si="0">C145/D145</f>
        <v>7.7272727272727271E-2</v>
      </c>
    </row>
    <row r="146" spans="1:5" x14ac:dyDescent="0.3">
      <c r="A146" s="4" t="s">
        <v>64</v>
      </c>
      <c r="B146">
        <v>166</v>
      </c>
      <c r="C146">
        <v>22</v>
      </c>
      <c r="D146">
        <v>188</v>
      </c>
      <c r="E146" s="5">
        <f t="shared" si="0"/>
        <v>0.11702127659574468</v>
      </c>
    </row>
    <row r="147" spans="1:5" x14ac:dyDescent="0.3">
      <c r="A147" s="4" t="s">
        <v>55</v>
      </c>
      <c r="B147">
        <v>199</v>
      </c>
      <c r="C147">
        <v>19</v>
      </c>
      <c r="D147">
        <v>218</v>
      </c>
      <c r="E147" s="5">
        <f t="shared" si="0"/>
        <v>8.7155963302752298E-2</v>
      </c>
    </row>
    <row r="148" spans="1:5" x14ac:dyDescent="0.3">
      <c r="A148" s="4" t="s">
        <v>28</v>
      </c>
      <c r="B148">
        <v>171</v>
      </c>
      <c r="C148">
        <v>18</v>
      </c>
      <c r="D148">
        <v>189</v>
      </c>
      <c r="E148" s="5">
        <f t="shared" si="0"/>
        <v>9.5238095238095233E-2</v>
      </c>
    </row>
    <row r="149" spans="1:5" x14ac:dyDescent="0.3">
      <c r="A149" s="4" t="s">
        <v>1065</v>
      </c>
      <c r="B149">
        <v>911</v>
      </c>
      <c r="C149">
        <v>89</v>
      </c>
      <c r="D149">
        <v>1000</v>
      </c>
      <c r="E149" s="5">
        <f t="shared" si="0"/>
        <v>8.8999999999999996E-2</v>
      </c>
    </row>
    <row r="153" spans="1:5" x14ac:dyDescent="0.3">
      <c r="A153" t="s">
        <v>1119</v>
      </c>
    </row>
    <row r="155" spans="1:5" x14ac:dyDescent="0.3">
      <c r="A155" s="7"/>
      <c r="B155" s="8"/>
      <c r="C155" s="9"/>
    </row>
    <row r="156" spans="1:5" x14ac:dyDescent="0.3">
      <c r="A156" s="10"/>
      <c r="B156" s="11"/>
      <c r="C156" s="12"/>
    </row>
    <row r="157" spans="1:5" x14ac:dyDescent="0.3">
      <c r="A157" s="10"/>
      <c r="B157" s="11"/>
      <c r="C157" s="12"/>
    </row>
    <row r="158" spans="1:5" x14ac:dyDescent="0.3">
      <c r="A158" s="10"/>
      <c r="B158" s="11"/>
      <c r="C158" s="12"/>
    </row>
    <row r="159" spans="1:5" x14ac:dyDescent="0.3">
      <c r="A159" s="10"/>
      <c r="B159" s="11"/>
      <c r="C159" s="12"/>
    </row>
    <row r="160" spans="1:5" x14ac:dyDescent="0.3">
      <c r="A160" s="10"/>
      <c r="B160" s="11"/>
      <c r="C160" s="12"/>
    </row>
    <row r="161" spans="1:3" x14ac:dyDescent="0.3">
      <c r="A161" s="10"/>
      <c r="B161" s="11"/>
      <c r="C161" s="12"/>
    </row>
    <row r="162" spans="1:3" x14ac:dyDescent="0.3">
      <c r="A162" s="10"/>
      <c r="B162" s="11"/>
      <c r="C162" s="12"/>
    </row>
    <row r="163" spans="1:3" x14ac:dyDescent="0.3">
      <c r="A163" s="10"/>
      <c r="B163" s="11"/>
      <c r="C163" s="12"/>
    </row>
    <row r="164" spans="1:3" x14ac:dyDescent="0.3">
      <c r="A164" s="10"/>
      <c r="B164" s="11"/>
      <c r="C164" s="12"/>
    </row>
    <row r="165" spans="1:3" x14ac:dyDescent="0.3">
      <c r="A165" s="10"/>
      <c r="B165" s="11"/>
      <c r="C165" s="12"/>
    </row>
    <row r="166" spans="1:3" x14ac:dyDescent="0.3">
      <c r="A166" s="10"/>
      <c r="B166" s="11"/>
      <c r="C166" s="12"/>
    </row>
    <row r="167" spans="1:3" x14ac:dyDescent="0.3">
      <c r="A167" s="10"/>
      <c r="B167" s="11"/>
      <c r="C167" s="12"/>
    </row>
    <row r="168" spans="1:3" x14ac:dyDescent="0.3">
      <c r="A168" s="10"/>
      <c r="B168" s="11"/>
      <c r="C168" s="12"/>
    </row>
    <row r="169" spans="1:3" x14ac:dyDescent="0.3">
      <c r="A169" s="10"/>
      <c r="B169" s="11"/>
      <c r="C169" s="12"/>
    </row>
    <row r="170" spans="1:3" x14ac:dyDescent="0.3">
      <c r="A170" s="10"/>
      <c r="B170" s="11"/>
      <c r="C170" s="12"/>
    </row>
    <row r="171" spans="1:3" x14ac:dyDescent="0.3">
      <c r="A171" s="10"/>
      <c r="B171" s="11"/>
      <c r="C171" s="12"/>
    </row>
    <row r="172" spans="1:3" x14ac:dyDescent="0.3">
      <c r="A172" s="13"/>
      <c r="B172" s="14"/>
      <c r="C172" s="15"/>
    </row>
  </sheetData>
  <conditionalFormatting sqref="A21:A32">
    <cfRule type="top10" dxfId="1" priority="4" rank="10"/>
  </conditionalFormatting>
  <conditionalFormatting sqref="E144:E149">
    <cfRule type="cellIs" dxfId="0" priority="2" operator="greaterThan">
      <formula>0.0936</formula>
    </cfRule>
  </conditionalFormatting>
  <pageMargins left="0.7" right="0.7" top="0.75" bottom="0.75" header="0.3" footer="0.3"/>
  <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C19597-6811-4B31-9334-36DE6C7A7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 (2)</vt:lpstr>
      <vt:lpstr>HealthCare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Devendrasinh Vaghela</cp:lastModifiedBy>
  <dcterms:created xsi:type="dcterms:W3CDTF">2025-07-18T10:46:53Z</dcterms:created>
  <dcterms:modified xsi:type="dcterms:W3CDTF">2026-02-27T09:30:23Z</dcterms:modified>
</cp:coreProperties>
</file>